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818d619b11e4c0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ssumptions" sheetId="1" r:id="R85dce10a89f047ca"/>
    <x:sheet xmlns:r="http://schemas.openxmlformats.org/officeDocument/2006/relationships" name="Implementation Budget" sheetId="2" r:id="Re6f37cca33644bbe"/>
    <x:sheet xmlns:r="http://schemas.openxmlformats.org/officeDocument/2006/relationships" name="Operating Costs" sheetId="3" r:id="R63a9b926497f44b2"/>
    <x:sheet xmlns:r="http://schemas.openxmlformats.org/officeDocument/2006/relationships" name="TCO Summary" sheetId="4" r:id="Rf35442edf8904e6a"/>
    <x:sheet xmlns:r="http://schemas.openxmlformats.org/officeDocument/2006/relationships" name="Staffing Plan" sheetId="5" r:id="R35f307ab2fa043dd"/>
    <x:sheet xmlns:r="http://schemas.openxmlformats.org/officeDocument/2006/relationships" name="Funding Gates" sheetId="6" r:id="R29ac0c5c89ab46f6"/>
    <x:sheet xmlns:r="http://schemas.openxmlformats.org/officeDocument/2006/relationships" name="Sources &amp; Notes" sheetId="7" r:id="R0c98ddb88d4e4460"/>
    <x:sheet xmlns:r="http://schemas.openxmlformats.org/officeDocument/2006/relationships" name="Checks" sheetId="8" r:id="R941a11ac04044b2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%"/>
    <x:numFmt numFmtId="201" formatCode="#,##0.00"/>
    <x:numFmt numFmtId="202" formatCode="0.00"/>
    <x:numFmt numFmtId="203" formatCode="0%"/>
  </x:numFmts>
  <x:fonts count="7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55555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3"/>
      <x:name val="Carlito"/>
    </x:font>
    <x:font>
      <x:b/>
      <x:sz val="11"/>
      <x:color rgb="FF7F6000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6F0E8"/>
      </x:patternFill>
    </x:fill>
    <x:fill>
      <x:patternFill patternType="solid">
        <x:fgColor rgb="FF704214"/>
      </x:patternFill>
    </x:fill>
    <x:fill>
      <x:patternFill patternType="solid">
        <x:fgColor rgb="FFE2F0D9"/>
      </x:patternFill>
    </x:fill>
    <x:fill>
      <x:patternFill patternType="solid">
        <x:fgColor rgb="FFDDEBF7"/>
      </x:patternFill>
    </x:fill>
    <x:fill>
      <x:patternFill patternType="solid">
        <x:fgColor rgb="FFFFF2CC"/>
      </x:patternFill>
    </x:fill>
  </x:fills>
  <x:borders count="6">
    <x:border/>
    <x:border>
      <x:left style="thin">
        <x:color rgb="FFD6C7B6"/>
      </x:left>
      <x:right style="thin">
        <x:color rgb="FFD6C7B6"/>
      </x:right>
      <x:top style="thin">
        <x:color rgb="FFD6C7B6"/>
      </x:top>
      <x:bottom style="thin">
        <x:color rgb="FFD6C7B6"/>
      </x:bottom>
    </x:border>
    <x:border>
      <x:bottom style="thin">
        <x:color rgb="FFE5D9CD"/>
      </x:bottom>
    </x:border>
    <x:border>
      <x:top style="thin">
        <x:color rgb="FFE5D9CD"/>
      </x:top>
      <x:bottom style="thin">
        <x:color rgb="FFE5D9CD"/>
      </x:bottom>
    </x:border>
    <x:border>
      <x:left style="thin">
        <x:color rgb="FF9BBB59"/>
      </x:left>
      <x:right style="thin">
        <x:color rgb="FF9BBB59"/>
      </x:right>
      <x:top style="thin">
        <x:color rgb="FF9BBB59"/>
      </x:top>
      <x:bottom style="thin">
        <x:color rgb="FF9BBB59"/>
      </x:bottom>
    </x:border>
    <x:border>
      <x:left style="thin">
        <x:color rgb="FF5B9BD5"/>
      </x:left>
      <x:right style="thin">
        <x:color rgb="FF5B9BD5"/>
      </x:right>
      <x:top style="thin">
        <x:color rgb="FF5B9BD5"/>
      </x:top>
      <x:bottom style="thin">
        <x:color rgb="FF5B9BD5"/>
      </x:bottom>
    </x:border>
  </x:borders>
  <x:cellStyleXfs count="1">
    <x:xf numFmtId="0" fontId="0" fillId="0" borderId="0"/>
  </x:cellStyleXfs>
  <x:cellXfs count="5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200" fontId="0" fillId="0" borderId="3" xfId="0" applyNumberFormat="1" applyFont="1" applyFill="1" applyBorder="1" applyAlignment="1">
      <x:alignment vertical="top" wrapText="1"/>
    </x:xf>
    <x:xf numFmtId="201" fontId="0" fillId="0" borderId="3" xfId="0" applyNumberFormat="1" applyFont="1" applyFill="1" applyBorder="1" applyAlignment="1">
      <x:alignment vertical="top" wrapText="1"/>
    </x:xf>
    <x:xf numFmtId="0" fontId="4" fillId="0" borderId="2" xfId="0" applyNumberFormat="1" applyFont="1" applyFill="1" applyBorder="1" applyAlignment="1">
      <x:alignment vertical="top" wrapText="1"/>
    </x:xf>
    <x:xf numFmtId="0" fontId="4" fillId="0" borderId="3" xfId="0" applyNumberFormat="1" applyFont="1" applyFill="1" applyBorder="1" applyAlignment="1">
      <x:alignment vertical="top" wrapText="1"/>
    </x:xf>
    <x:xf numFmtId="0" fontId="4" fillId="5" borderId="3" xfId="0" applyNumberFormat="1" applyFont="1" applyFill="1" applyBorder="1" applyAlignment="1">
      <x:alignment vertical="top" wrapText="1"/>
    </x:xf>
    <x:xf numFmtId="0" fontId="4" fillId="6" borderId="3" xfId="0" applyNumberFormat="1" applyFont="1" applyFill="1" applyBorder="1" applyAlignment="1">
      <x:alignment vertical="top" wrapText="1"/>
    </x:xf>
    <x:xf numFmtId="202" fontId="0" fillId="0" borderId="2" xfId="0" applyNumberFormat="1" applyFont="1" applyFill="1" applyBorder="1" applyAlignment="1">
      <x:alignment vertical="top" wrapText="1"/>
    </x:xf>
    <x:xf numFmtId="202" fontId="0" fillId="0" borderId="3" xfId="0" applyNumberFormat="1" applyFont="1" applyFill="1" applyBorder="1" applyAlignment="1">
      <x:alignment vertical="top" wrapText="1"/>
    </x:xf>
    <x:xf numFmtId="202" fontId="4" fillId="0" borderId="2" xfId="0" applyNumberFormat="1" applyFont="1" applyFill="1" applyBorder="1" applyAlignment="1">
      <x:alignment vertical="top" wrapText="1"/>
    </x:xf>
    <x:xf numFmtId="202" fontId="4" fillId="0" borderId="3" xfId="0" applyNumberFormat="1" applyFont="1" applyFill="1" applyBorder="1" applyAlignment="1">
      <x:alignment vertical="top" wrapText="1"/>
    </x:xf>
    <x:xf numFmtId="202" fontId="4" fillId="5" borderId="3" xfId="0" applyNumberFormat="1" applyFont="1" applyFill="1" applyBorder="1" applyAlignment="1">
      <x:alignment vertical="top" wrapText="1"/>
    </x:xf>
    <x:xf numFmtId="202" fontId="4" fillId="6" borderId="3" xfId="0" applyNumberFormat="1" applyFont="1" applyFill="1" applyBorder="1" applyAlignment="1">
      <x:alignment vertical="top" wrapText="1"/>
    </x:xf>
    <x:xf numFmtId="0" fontId="0" fillId="5" borderId="2" xfId="0" applyNumberFormat="1" applyFont="1" applyFill="1" applyBorder="1" applyAlignment="1">
      <x:alignment vertical="top" wrapText="1"/>
    </x:xf>
    <x:xf numFmtId="0" fontId="0" fillId="5" borderId="3" xfId="0" applyNumberFormat="1" applyFont="1" applyFill="1" applyBorder="1" applyAlignment="1">
      <x:alignment vertical="top" wrapText="1"/>
    </x:xf>
    <x:xf numFmtId="0" fontId="4" fillId="5" borderId="2" xfId="0" applyNumberFormat="1" applyFont="1" applyFill="1" applyBorder="1" applyAlignment="1">
      <x:alignment vertical="top" wrapText="1"/>
    </x:xf>
    <x:xf numFmtId="0" fontId="4" fillId="5" borderId="1" xfId="0" applyNumberFormat="1" applyFont="1" applyFill="1" applyBorder="1" applyAlignment="1">
      <x:alignment vertical="top" wrapText="1"/>
    </x:xf>
    <x:xf numFmtId="202" fontId="4" fillId="5" borderId="1" xfId="0" applyNumberFormat="1" applyFont="1" applyFill="1" applyBorder="1" applyAlignment="1">
      <x:alignment vertical="top" wrapText="1"/>
    </x:xf>
    <x:xf numFmtId="0" fontId="5" fillId="5" borderId="3" xfId="0" applyNumberFormat="1" applyFont="1" applyFill="1" applyBorder="1" applyAlignment="1">
      <x:alignment vertical="top" wrapText="1"/>
    </x:xf>
    <x:xf numFmtId="0" fontId="5" fillId="5" borderId="4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5" xfId="0" applyNumberFormat="1" applyFont="1" applyFill="1" applyBorder="1"/>
    <x:xf numFmtId="202" fontId="5" fillId="5" borderId="4" xfId="0" applyNumberFormat="1" applyFont="1" applyFill="1" applyBorder="1" applyAlignment="1">
      <x:alignment vertical="top" wrapText="1"/>
    </x:xf>
    <x:xf numFmtId="202" fontId="5" fillId="6" borderId="5" xfId="0" applyNumberFormat="1" applyFont="1" applyFill="1" applyBorder="1"/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wrapText="1"/>
    </x:xf>
    <x:xf numFmtId="0" fontId="4" fillId="5" borderId="4" xfId="0" applyNumberFormat="1" applyFont="1" applyFill="1" applyBorder="1" applyAlignment="1">
      <x:alignment vertical="top" wrapText="1"/>
    </x:xf>
    <x:xf numFmtId="203" fontId="0" fillId="0" borderId="2" xfId="0" applyNumberFormat="1" applyFont="1" applyFill="1" applyBorder="1" applyAlignment="1">
      <x:alignment vertical="top" wrapText="1"/>
    </x:xf>
    <x:xf numFmtId="203" fontId="0" fillId="0" borderId="3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4" xfId="0" applyNumberFormat="1" applyFont="1" applyFill="1" applyBorder="1"/>
    <x:xf numFmtId="0" fontId="4" fillId="5" borderId="4" xfId="0" applyNumberFormat="1" applyFont="1" applyFill="1" applyBorder="1" applyAlignment="1">
      <x:alignment wrapText="1"/>
    </x:xf>
    <x:xf numFmtId="0" fontId="5" fillId="5" borderId="0" xfId="0" applyNumberFormat="1" applyFont="1" applyFill="1" applyBorder="1"/>
    <x:xf numFmtId="0" fontId="5" fillId="5" borderId="4" xfId="0" applyNumberFormat="1" applyFont="1" applyFill="1" applyBorder="1"/>
    <x:xf numFmtId="0" fontId="5" fillId="5" borderId="4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1bdec363f294fca" /><Relationship Type="http://schemas.openxmlformats.org/officeDocument/2006/relationships/theme" Target="/xl/theme/theme1.xml" Id="R0d8d422e6ecf435b" /><Relationship Type="http://schemas.openxmlformats.org/officeDocument/2006/relationships/sharedStrings" Target="/xl/sharedStrings.xml" Id="Rfcaee1f0f5f044f3" /><Relationship Type="http://schemas.openxmlformats.org/officeDocument/2006/relationships/worksheet" Target="/xl/worksheets/sheet1.xml" Id="R85dce10a89f047ca" /><Relationship Type="http://schemas.openxmlformats.org/officeDocument/2006/relationships/worksheet" Target="/xl/worksheets/sheet2.xml" Id="Re6f37cca33644bbe" /><Relationship Type="http://schemas.openxmlformats.org/officeDocument/2006/relationships/worksheet" Target="/xl/worksheets/sheet3.xml" Id="R63a9b926497f44b2" /><Relationship Type="http://schemas.openxmlformats.org/officeDocument/2006/relationships/worksheet" Target="/xl/worksheets/sheet4.xml" Id="Rf35442edf8904e6a" /><Relationship Type="http://schemas.openxmlformats.org/officeDocument/2006/relationships/worksheet" Target="/xl/worksheets/sheet5.xml" Id="R35f307ab2fa043dd" /><Relationship Type="http://schemas.openxmlformats.org/officeDocument/2006/relationships/worksheet" Target="/xl/worksheets/sheet6.xml" Id="R29ac0c5c89ab46f6" /><Relationship Type="http://schemas.openxmlformats.org/officeDocument/2006/relationships/worksheet" Target="/xl/worksheets/sheet7.xml" Id="R0c98ddb88d4e4460" /><Relationship Type="http://schemas.openxmlformats.org/officeDocument/2006/relationships/worksheet" Target="/xl/worksheets/sheet8.xml" Id="R941a11ac04044b2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5" hidden="0" customWidth="1"/>
    <x:col min="2" max="2" width="28" hidden="0" customWidth="1"/>
    <x:col min="3" max="3" width="4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32" customHeight="1">
      <x:c r="A1" s="2" t="str">
        <x:v>Scale &amp; Financial Assumptions</x:v>
      </x:c>
      <x:c r="B1" s="2"/>
      <x:c r="C1" s="2"/>
      <x:c r="D1" s="2"/>
      <x:c r="E1" s="2"/>
      <x:c r="F1" s="2"/>
    </x:row>
    <x:row r="2" ht="28" customHeight="1">
      <x:c r="A2" s="5" t="str">
        <x:v>Kashyap Adhikari platform | Version 0.1 | 8 September 2026 | Owner: Jyphra Technology Pvt. Ltd.</x:v>
      </x:c>
      <x:c r="B2" s="5"/>
      <x:c r="C2" s="5"/>
      <x:c r="D2" s="5"/>
      <x:c r="E2" s="5"/>
      <x:c r="F2" s="5"/>
    </x:row>
    <x:row r="4">
      <x:c r="A4" s="11" t="str">
        <x:v>Assumption</x:v>
      </x:c>
      <x:c r="B4" s="11" t="str">
        <x:v>Value</x:v>
      </x:c>
      <x:c r="C4" s="11" t="str">
        <x:v>Unit / treatment</x:v>
      </x:c>
      <x:c r="D4" s="11" t="str">
        <x:v>Minimum</x:v>
      </x:c>
      <x:c r="E4" s="11" t="str">
        <x:v>Recommended</x:v>
      </x:c>
      <x:c r="F4" s="11" t="str">
        <x:v>Enterprise</x:v>
      </x:c>
    </x:row>
    <x:row r="5">
      <x:c r="A5" s="16" t="str">
        <x:v>Model owner</x:v>
      </x:c>
      <x:c r="B5" s="16" t="str">
        <x:v>Jyphra Technology Pvt. Ltd.</x:v>
      </x:c>
      <x:c r="C5" s="16" t="str"/>
      <x:c r="D5" s="16" t="str"/>
      <x:c r="E5" s="16" t="str"/>
      <x:c r="F5" s="16" t="str"/>
    </x:row>
    <x:row r="6">
      <x:c r="A6" s="17" t="str">
        <x:v>Delivery model</x:v>
      </x:c>
      <x:c r="B6" s="17" t="str">
        <x:v>Jyphra-led hybrid team with externally contracted agency capacity</x:v>
      </x:c>
      <x:c r="C6" s="17" t="str"/>
      <x:c r="D6" s="17" t="str"/>
      <x:c r="E6" s="17" t="str"/>
      <x:c r="F6" s="17" t="str"/>
    </x:row>
    <x:row r="7">
      <x:c r="A7" s="17" t="str">
        <x:v>Development period</x:v>
      </x:c>
      <x:c r="B7" s="17" t="str">
        <x:v>12–15 months</x:v>
      </x:c>
      <x:c r="C7" s="17" t="str"/>
      <x:c r="D7" s="17" t="str"/>
      <x:c r="E7" s="17" t="str"/>
      <x:c r="F7" s="17" t="str"/>
    </x:row>
    <x:row r="8">
      <x:c r="A8" s="17" t="str">
        <x:v>Registered-user launch capacity</x:v>
      </x:c>
      <x:c r="B8" s="17" t="n">
        <x:v>100000</x:v>
      </x:c>
      <x:c r="C8" s="17" t="str">
        <x:v>users</x:v>
      </x:c>
      <x:c r="D8" s="17" t="str"/>
      <x:c r="E8" s="17" t="str"/>
      <x:c r="F8" s="17" t="str"/>
    </x:row>
    <x:row r="9">
      <x:c r="A9" s="17" t="str">
        <x:v>Scale-without-redesign target</x:v>
      </x:c>
      <x:c r="B9" s="17" t="n">
        <x:v>500000</x:v>
      </x:c>
      <x:c r="C9" s="17" t="str">
        <x:v>users</x:v>
      </x:c>
      <x:c r="D9" s="17" t="str"/>
      <x:c r="E9" s="17" t="str"/>
      <x:c r="F9" s="17" t="str"/>
    </x:row>
    <x:row r="10">
      <x:c r="A10" s="17" t="str">
        <x:v>Monthly active users baseline</x:v>
      </x:c>
      <x:c r="B10" s="17" t="n">
        <x:v>20000</x:v>
      </x:c>
      <x:c r="C10" s="17" t="str">
        <x:v>users</x:v>
      </x:c>
      <x:c r="D10" s="17" t="str"/>
      <x:c r="E10" s="17" t="str"/>
      <x:c r="F10" s="17" t="str"/>
    </x:row>
    <x:row r="11">
      <x:c r="A11" s="17" t="str">
        <x:v>Daily active users baseline</x:v>
      </x:c>
      <x:c r="B11" s="17" t="n">
        <x:v>5000</x:v>
      </x:c>
      <x:c r="C11" s="17" t="str">
        <x:v>users</x:v>
      </x:c>
      <x:c r="D11" s="17" t="str"/>
      <x:c r="E11" s="17" t="str"/>
      <x:c r="F11" s="17" t="str"/>
    </x:row>
    <x:row r="12">
      <x:c r="A12" s="17" t="str">
        <x:v>Normal peak concurrent users</x:v>
      </x:c>
      <x:c r="B12" s="17" t="n">
        <x:v>1000</x:v>
      </x:c>
      <x:c r="C12" s="17" t="str">
        <x:v>users</x:v>
      </x:c>
      <x:c r="D12" s="17" t="str"/>
      <x:c r="E12" s="17" t="str"/>
      <x:c r="F12" s="17" t="str"/>
    </x:row>
    <x:row r="13">
      <x:c r="A13" s="17" t="str">
        <x:v>Support model</x:v>
      </x:c>
      <x:c r="B13" s="17" t="str">
        <x:v>Business-hours monitoring and user support; emergency contact outside hours without 24/7 SLA</x:v>
      </x:c>
      <x:c r="C13" s="17" t="str"/>
      <x:c r="D13" s="17" t="str"/>
      <x:c r="E13" s="17" t="str"/>
      <x:c r="F13" s="17" t="str"/>
    </x:row>
    <x:row r="14">
      <x:c r="A14" s="17" t="str">
        <x:v>Cloud model</x:v>
      </x:c>
      <x:c r="B14" s="17" t="str">
        <x:v>Managed critical services plus cost-efficient compute/containers</x:v>
      </x:c>
      <x:c r="C14" s="17" t="str"/>
      <x:c r="D14" s="17" t="str"/>
      <x:c r="E14" s="17" t="str"/>
      <x:c r="F14" s="17" t="str"/>
    </x:row>
    <x:row r="15">
      <x:c r="A15" s="17" t="str">
        <x:v>Contingency rate</x:v>
      </x:c>
      <x:c r="B15" s="18" t="n">
        <x:v>0.15</x:v>
      </x:c>
      <x:c r="C15" s="17" t="str">
        <x:v>applied to implementation subtotal</x:v>
      </x:c>
      <x:c r="D15" s="17" t="str"/>
      <x:c r="E15" s="17" t="str"/>
      <x:c r="F15" s="17" t="str"/>
    </x:row>
    <x:row r="16">
      <x:c r="A16" s="17" t="str">
        <x:v>Illustrative VAT rate</x:v>
      </x:c>
      <x:c r="B16" s="18" t="n">
        <x:v>0.13</x:v>
      </x:c>
      <x:c r="C16" s="17" t="str">
        <x:v>shown separately; confirm tax treatment before contracting</x:v>
      </x:c>
      <x:c r="D16" s="17" t="str"/>
      <x:c r="E16" s="17" t="str"/>
      <x:c r="F16" s="17" t="str"/>
    </x:row>
    <x:row r="17">
      <x:c r="A17" s="17" t="str">
        <x:v>USD/NPR planning rate</x:v>
      </x:c>
      <x:c r="B17" s="19" t="n">
        <x:v>151.48</x:v>
      </x:c>
      <x:c r="C17" s="17" t="str">
        <x:v>NRB selling rate on 2026-09-08</x:v>
      </x:c>
      <x:c r="D17" s="17" t="str"/>
      <x:c r="E17" s="17" t="str"/>
      <x:c r="F17" s="17" t="str"/>
    </x:row>
    <x:row r="18">
      <x:c r="A18" s="17" t="str">
        <x:v>Planning horizon</x:v>
      </x:c>
      <x:c r="B18" s="17" t="n">
        <x:v>3</x:v>
      </x:c>
      <x:c r="C18" s="17" t="str">
        <x:v>post-launch operating years</x:v>
      </x:c>
      <x:c r="D18" s="17" t="str"/>
      <x:c r="E18" s="17" t="str"/>
      <x:c r="F18" s="17" t="str"/>
    </x:row>
    <x:row r="19">
      <x:c r="A19" s="17" t="str">
        <x:v>Budget disclosure</x:v>
      </x:c>
      <x:c r="B19" s="17" t="str">
        <x:v>Workstream/phase totals only; no individual compensation</x:v>
      </x:c>
      <x:c r="C19" s="17" t="str"/>
      <x:c r="D19" s="17" t="str"/>
      <x:c r="E19" s="17" t="str"/>
      <x:c r="F19" s="17" t="str"/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8" hidden="0" customWidth="1"/>
    <x:col min="2" max="2" width="18" hidden="0" customWidth="1"/>
    <x:col min="3" max="3" width="18" hidden="0" customWidth="1"/>
    <x:col min="4" max="4" width="18" hidden="0" customWidth="1"/>
    <x:col min="5" max="5" width="24" hidden="0" customWidth="1"/>
  </x:cols>
  <x:sheetData>
    <x:row r="1" ht="32" customHeight="1">
      <x:c r="A1" s="2" t="str">
        <x:v>Implementation Budget by Workstream</x:v>
      </x:c>
      <x:c r="B1" s="2"/>
      <x:c r="C1" s="2"/>
      <x:c r="D1" s="2"/>
      <x:c r="E1" s="2"/>
    </x:row>
    <x:row r="2" ht="28" customHeight="1">
      <x:c r="A2" s="5" t="str">
        <x:v>All amounts NPR millions; consolidated totals intentionally avoid individual salary disclosure.</x:v>
      </x:c>
      <x:c r="B2" s="5"/>
      <x:c r="C2" s="5"/>
      <x:c r="D2" s="5"/>
      <x:c r="E2" s="5"/>
    </x:row>
    <x:row r="4">
      <x:c r="A4" s="11" t="str">
        <x:v>Workstream</x:v>
      </x:c>
      <x:c r="B4" s="11" t="str">
        <x:v>Minimum</x:v>
      </x:c>
      <x:c r="C4" s="11" t="str">
        <x:v>Recommended</x:v>
      </x:c>
      <x:c r="D4" s="11" t="str">
        <x:v>Enterprise</x:v>
      </x:c>
      <x:c r="E4" s="11" t="str">
        <x:v>Scope note</x:v>
      </x:c>
    </x:row>
    <x:row r="5">
      <x:c r="A5" s="16" t="str">
        <x:v>Product discovery, program governance and business analysis</x:v>
      </x:c>
      <x:c r="B5" s="24" t="n">
        <x:v>1.4</x:v>
      </x:c>
      <x:c r="C5" s="24" t="n">
        <x:v>2.8</x:v>
      </x:c>
      <x:c r="D5" s="24" t="n">
        <x:v>4.5</x:v>
      </x:c>
      <x:c r="E5" s="16" t="str">
        <x:v>Core delivery</x:v>
      </x:c>
    </x:row>
    <x:row r="6">
      <x:c r="A6" s="17" t="str">
        <x:v>UX research, UI design, accessibility and prototype</x:v>
      </x:c>
      <x:c r="B6" s="25" t="n">
        <x:v>1</x:v>
      </x:c>
      <x:c r="C6" s="25" t="n">
        <x:v>2</x:v>
      </x:c>
      <x:c r="D6" s="25" t="n">
        <x:v>3.2</x:v>
      </x:c>
      <x:c r="E6" s="17" t="str">
        <x:v>Core delivery</x:v>
      </x:c>
    </x:row>
    <x:row r="7">
      <x:c r="A7" s="17" t="str">
        <x:v>Android and iOS mobile applications</x:v>
      </x:c>
      <x:c r="B7" s="25" t="n">
        <x:v>3.4</x:v>
      </x:c>
      <x:c r="C7" s="25" t="n">
        <x:v>6.2</x:v>
      </x:c>
      <x:c r="D7" s="25" t="n">
        <x:v>9.5</x:v>
      </x:c>
      <x:c r="E7" s="17" t="str">
        <x:v>Core delivery</x:v>
      </x:c>
    </x:row>
    <x:row r="8">
      <x:c r="A8" s="17" t="str">
        <x:v>Backend APIs, database and integration services</x:v>
      </x:c>
      <x:c r="B8" s="25" t="n">
        <x:v>3.6</x:v>
      </x:c>
      <x:c r="C8" s="25" t="n">
        <x:v>6.8</x:v>
      </x:c>
      <x:c r="D8" s="25" t="n">
        <x:v>10.5</x:v>
      </x:c>
      <x:c r="E8" s="17" t="str">
        <x:v>Product capability</x:v>
      </x:c>
    </x:row>
    <x:row r="9">
      <x:c r="A9" s="17" t="str">
        <x:v>Web administration and moderation portal</x:v>
      </x:c>
      <x:c r="B9" s="25" t="n">
        <x:v>1.5</x:v>
      </x:c>
      <x:c r="C9" s="25" t="n">
        <x:v>2.8</x:v>
      </x:c>
      <x:c r="D9" s="25" t="n">
        <x:v>4.5</x:v>
      </x:c>
      <x:c r="E9" s="17" t="str">
        <x:v>Product capability</x:v>
      </x:c>
    </x:row>
    <x:row r="10">
      <x:c r="A10" s="17" t="str">
        <x:v>Genealogy graph, Nata/Saino and cultural-rule framework</x:v>
      </x:c>
      <x:c r="B10" s="25" t="n">
        <x:v>1.8</x:v>
      </x:c>
      <x:c r="C10" s="25" t="n">
        <x:v>3.6</x:v>
      </x:c>
      <x:c r="D10" s="25" t="n">
        <x:v>5.8</x:v>
      </x:c>
      <x:c r="E10" s="17" t="str">
        <x:v>Product capability</x:v>
      </x:c>
    </x:row>
    <x:row r="11">
      <x:c r="A11" s="17" t="str">
        <x:v>Chat, notifications, media and maps</x:v>
      </x:c>
      <x:c r="B11" s="25" t="n">
        <x:v>1.4</x:v>
      </x:c>
      <x:c r="C11" s="25" t="n">
        <x:v>2.8</x:v>
      </x:c>
      <x:c r="D11" s="25" t="n">
        <x:v>4.8</x:v>
      </x:c>
      <x:c r="E11" s="17" t="str">
        <x:v>Product capability</x:v>
      </x:c>
    </x:row>
    <x:row r="12">
      <x:c r="A12" s="17" t="str">
        <x:v>QA automation, devices, performance testing and UAT</x:v>
      </x:c>
      <x:c r="B12" s="25" t="n">
        <x:v>1.5</x:v>
      </x:c>
      <x:c r="C12" s="25" t="n">
        <x:v>3.2</x:v>
      </x:c>
      <x:c r="D12" s="25" t="n">
        <x:v>5.2</x:v>
      </x:c>
      <x:c r="E12" s="17" t="str">
        <x:v>Product capability</x:v>
      </x:c>
    </x:row>
    <x:row r="13">
      <x:c r="A13" s="17" t="str">
        <x:v>Security, privacy engineering and independent assessment</x:v>
      </x:c>
      <x:c r="B13" s="25" t="n">
        <x:v>0.8</x:v>
      </x:c>
      <x:c r="C13" s="25" t="n">
        <x:v>2</x:v>
      </x:c>
      <x:c r="D13" s="25" t="n">
        <x:v>3.8</x:v>
      </x:c>
      <x:c r="E13" s="17" t="str">
        <x:v>Assurance/platform</x:v>
      </x:c>
    </x:row>
    <x:row r="14">
      <x:c r="A14" s="17" t="str">
        <x:v>DevOps, environments, monitoring and release automation</x:v>
      </x:c>
      <x:c r="B14" s="25" t="n">
        <x:v>0.9</x:v>
      </x:c>
      <x:c r="C14" s="25" t="n">
        <x:v>1.8</x:v>
      </x:c>
      <x:c r="D14" s="25" t="n">
        <x:v>3</x:v>
      </x:c>
      <x:c r="E14" s="17" t="str">
        <x:v>Assurance/platform</x:v>
      </x:c>
    </x:row>
    <x:row r="15">
      <x:c r="A15" s="17" t="str">
        <x:v>Genealogy migration tooling and controlled pilot import</x:v>
      </x:c>
      <x:c r="B15" s="25" t="n">
        <x:v>1</x:v>
      </x:c>
      <x:c r="C15" s="25" t="n">
        <x:v>2.2</x:v>
      </x:c>
      <x:c r="D15" s="25" t="n">
        <x:v>3.8</x:v>
      </x:c>
      <x:c r="E15" s="17" t="str">
        <x:v>Assurance/platform</x:v>
      </x:c>
    </x:row>
    <x:row r="16">
      <x:c r="A16" s="17" t="str">
        <x:v>Training, store readiness, launch and stabilization</x:v>
      </x:c>
      <x:c r="B16" s="25" t="n">
        <x:v>0.7</x:v>
      </x:c>
      <x:c r="C16" s="25" t="n">
        <x:v>1.5</x:v>
      </x:c>
      <x:c r="D16" s="25" t="n">
        <x:v>2.5</x:v>
      </x:c>
      <x:c r="E16" s="17" t="str">
        <x:v>Launch readiness</x:v>
      </x:c>
    </x:row>
    <x:row r="17">
      <x:c r="A17" s="20" t="str">
        <x:v>Implementation subtotal</x:v>
      </x:c>
      <x:c r="B17" s="26" t="n">
        <x:f>SUM(B5:B16)</x:f>
        <x:v>19</x:v>
      </x:c>
      <x:c r="C17" s="26" t="n">
        <x:f>SUM(C5:C16)</x:f>
        <x:v>37.7</x:v>
      </x:c>
      <x:c r="D17" s="26" t="n">
        <x:f>SUM(D5:D16)</x:f>
        <x:v>61.099999999999994</x:v>
      </x:c>
      <x:c r="E17" s="20"/>
    </x:row>
    <x:row r="18">
      <x:c r="A18" s="21" t="str">
        <x:v>Contingency (15%)</x:v>
      </x:c>
      <x:c r="B18" s="27" t="n">
        <x:f>B17*Assumptions!$B$15</x:f>
        <x:v>2.85</x:v>
      </x:c>
      <x:c r="C18" s="27" t="n">
        <x:f>C17*Assumptions!$B$15</x:f>
        <x:v>5.655</x:v>
      </x:c>
      <x:c r="D18" s="27" t="n">
        <x:f>D17*Assumptions!$B$15</x:f>
        <x:v>9.165</x:v>
      </x:c>
      <x:c r="E18" s="21"/>
    </x:row>
    <x:row r="19">
      <x:c r="A19" s="22" t="str">
        <x:v>Implementation incl. contingency, excl. VAT</x:v>
      </x:c>
      <x:c r="B19" s="28" t="n">
        <x:f>B17+B18</x:f>
        <x:v>21.85</x:v>
      </x:c>
      <x:c r="C19" s="28" t="n">
        <x:f>C17+C18</x:f>
        <x:v>43.355000000000004</x:v>
      </x:c>
      <x:c r="D19" s="28" t="n">
        <x:f>D17+D18</x:f>
        <x:v>70.26499999999999</x:v>
      </x:c>
      <x:c r="E19" s="22"/>
    </x:row>
    <x:row r="20">
      <x:c r="A20" s="21" t="str">
        <x:v>Illustrative VAT (13%)</x:v>
      </x:c>
      <x:c r="B20" s="27" t="n">
        <x:f>B19*Assumptions!$B$16</x:f>
        <x:v>2.8405000000000005</x:v>
      </x:c>
      <x:c r="C20" s="27" t="n">
        <x:f>C19*Assumptions!$B$16</x:f>
        <x:v>5.636150000000001</x:v>
      </x:c>
      <x:c r="D20" s="27" t="n">
        <x:f>D19*Assumptions!$B$16</x:f>
        <x:v>9.13445</x:v>
      </x:c>
      <x:c r="E20" s="21"/>
    </x:row>
    <x:row r="21">
      <x:c r="A21" s="23" t="str">
        <x:v>Implementation incl. contingency and illustrative VAT</x:v>
      </x:c>
      <x:c r="B21" s="29" t="n">
        <x:f>B19+B20</x:f>
        <x:v>24.6905</x:v>
      </x:c>
      <x:c r="C21" s="29" t="n">
        <x:f>C19+C20</x:f>
        <x:v>48.991150000000005</x:v>
      </x:c>
      <x:c r="D21" s="29" t="n">
        <x:f>D19+D20</x:f>
        <x:v>79.39944999999999</x:v>
      </x:c>
      <x:c r="E21" s="23"/>
    </x:row>
  </x:sheetData>
  <x:mergeCells>
    <x:mergeCell ref="A1:E1"/>
    <x:mergeCell ref="A2:E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5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</x:cols>
  <x:sheetData>
    <x:row r="1" ht="32" customHeight="1">
      <x:c r="A1" s="2" t="str">
        <x:v>Three-Year Operating Cost Forecast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28" customHeight="1">
      <x:c r="A2" s="5" t="str">
        <x:v>Amounts NPR millions; Year 1 begins after production launch.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</x:row>
    <x:row r="4">
      <x:c r="A4" s="11" t="str">
        <x:v>Cost category</x:v>
      </x:c>
      <x:c r="B4" s="11" t="str">
        <x:v>Min Y1</x:v>
      </x:c>
      <x:c r="C4" s="11" t="str">
        <x:v>Min Y2</x:v>
      </x:c>
      <x:c r="D4" s="11" t="str">
        <x:v>Min Y3</x:v>
      </x:c>
      <x:c r="E4" s="11" t="str">
        <x:v>Rec Y1</x:v>
      </x:c>
      <x:c r="F4" s="11" t="str">
        <x:v>Rec Y2</x:v>
      </x:c>
      <x:c r="G4" s="11" t="str">
        <x:v>Rec Y3</x:v>
      </x:c>
      <x:c r="H4" s="11" t="str">
        <x:v>Ent Y1</x:v>
      </x:c>
      <x:c r="I4" s="11" t="str">
        <x:v>Ent Y2</x:v>
      </x:c>
      <x:c r="J4" s="11" t="str">
        <x:v>Ent Y3</x:v>
      </x:c>
    </x:row>
    <x:row r="5">
      <x:c r="A5" s="16" t="str">
        <x:v>Cloud compute, managed database, cache and networking</x:v>
      </x:c>
      <x:c r="B5" s="24" t="n">
        <x:v>1.2</x:v>
      </x:c>
      <x:c r="C5" s="24" t="n">
        <x:v>1.5</x:v>
      </x:c>
      <x:c r="D5" s="24" t="n">
        <x:v>1.8</x:v>
      </x:c>
      <x:c r="E5" s="24" t="n">
        <x:v>2.4</x:v>
      </x:c>
      <x:c r="F5" s="24" t="n">
        <x:v>3</x:v>
      </x:c>
      <x:c r="G5" s="24" t="n">
        <x:v>3.8</x:v>
      </x:c>
      <x:c r="H5" s="24" t="n">
        <x:v>4.2</x:v>
      </x:c>
      <x:c r="I5" s="24" t="n">
        <x:v>5.3</x:v>
      </x:c>
      <x:c r="J5" s="24" t="n">
        <x:v>6.8</x:v>
      </x:c>
    </x:row>
    <x:row r="6">
      <x:c r="A6" s="17" t="str">
        <x:v>Object storage, backup and disaster recovery</x:v>
      </x:c>
      <x:c r="B6" s="25" t="n">
        <x:v>0.4</x:v>
      </x:c>
      <x:c r="C6" s="25" t="n">
        <x:v>0.5</x:v>
      </x:c>
      <x:c r="D6" s="25" t="n">
        <x:v>0.7</x:v>
      </x:c>
      <x:c r="E6" s="25" t="n">
        <x:v>0.8</x:v>
      </x:c>
      <x:c r="F6" s="25" t="n">
        <x:v>1</x:v>
      </x:c>
      <x:c r="G6" s="25" t="n">
        <x:v>1.3</x:v>
      </x:c>
      <x:c r="H6" s="25" t="n">
        <x:v>1.5</x:v>
      </x:c>
      <x:c r="I6" s="25" t="n">
        <x:v>1.9</x:v>
      </x:c>
      <x:c r="J6" s="25" t="n">
        <x:v>2.5</x:v>
      </x:c>
    </x:row>
    <x:row r="7">
      <x:c r="A7" s="17" t="str">
        <x:v>OTP, notification, email, maps and external APIs</x:v>
      </x:c>
      <x:c r="B7" s="25" t="n">
        <x:v>0.6</x:v>
      </x:c>
      <x:c r="C7" s="25" t="n">
        <x:v>0.8</x:v>
      </x:c>
      <x:c r="D7" s="25" t="n">
        <x:v>1</x:v>
      </x:c>
      <x:c r="E7" s="25" t="n">
        <x:v>1.2</x:v>
      </x:c>
      <x:c r="F7" s="25" t="n">
        <x:v>1.6</x:v>
      </x:c>
      <x:c r="G7" s="25" t="n">
        <x:v>2.1</x:v>
      </x:c>
      <x:c r="H7" s="25" t="n">
        <x:v>2.4</x:v>
      </x:c>
      <x:c r="I7" s="25" t="n">
        <x:v>3.2</x:v>
      </x:c>
      <x:c r="J7" s="25" t="n">
        <x:v>4.2</x:v>
      </x:c>
    </x:row>
    <x:row r="8">
      <x:c r="A8" s="17" t="str">
        <x:v>Application maintenance and enhancements</x:v>
      </x:c>
      <x:c r="B8" s="25" t="n">
        <x:v>2.4</x:v>
      </x:c>
      <x:c r="C8" s="25" t="n">
        <x:v>2.8</x:v>
      </x:c>
      <x:c r="D8" s="25" t="n">
        <x:v>3.3</x:v>
      </x:c>
      <x:c r="E8" s="25" t="n">
        <x:v>4.8</x:v>
      </x:c>
      <x:c r="F8" s="25" t="n">
        <x:v>5.5</x:v>
      </x:c>
      <x:c r="G8" s="25" t="n">
        <x:v>6.4</x:v>
      </x:c>
      <x:c r="H8" s="25" t="n">
        <x:v>8</x:v>
      </x:c>
      <x:c r="I8" s="25" t="n">
        <x:v>9.2</x:v>
      </x:c>
      <x:c r="J8" s="25" t="n">
        <x:v>10.8</x:v>
      </x:c>
    </x:row>
    <x:row r="9">
      <x:c r="A9" s="17" t="str">
        <x:v>Business-hours operations and user support</x:v>
      </x:c>
      <x:c r="B9" s="25" t="n">
        <x:v>1.4</x:v>
      </x:c>
      <x:c r="C9" s="25" t="n">
        <x:v>1.7</x:v>
      </x:c>
      <x:c r="D9" s="25" t="n">
        <x:v>2</x:v>
      </x:c>
      <x:c r="E9" s="25" t="n">
        <x:v>2.8</x:v>
      </x:c>
      <x:c r="F9" s="25" t="n">
        <x:v>3.3</x:v>
      </x:c>
      <x:c r="G9" s="25" t="n">
        <x:v>3.9</x:v>
      </x:c>
      <x:c r="H9" s="25" t="n">
        <x:v>4.8</x:v>
      </x:c>
      <x:c r="I9" s="25" t="n">
        <x:v>5.6</x:v>
      </x:c>
      <x:c r="J9" s="25" t="n">
        <x:v>6.6</x:v>
      </x:c>
    </x:row>
    <x:row r="10">
      <x:c r="A10" s="17" t="str">
        <x:v>Security, monitoring, audits and compliance</x:v>
      </x:c>
      <x:c r="B10" s="25" t="n">
        <x:v>0.6</x:v>
      </x:c>
      <x:c r="C10" s="25" t="n">
        <x:v>0.8</x:v>
      </x:c>
      <x:c r="D10" s="25" t="n">
        <x:v>1</x:v>
      </x:c>
      <x:c r="E10" s="25" t="n">
        <x:v>1.4</x:v>
      </x:c>
      <x:c r="F10" s="25" t="n">
        <x:v>1.7</x:v>
      </x:c>
      <x:c r="G10" s="25" t="n">
        <x:v>2.1</x:v>
      </x:c>
      <x:c r="H10" s="25" t="n">
        <x:v>2.8</x:v>
      </x:c>
      <x:c r="I10" s="25" t="n">
        <x:v>3.4</x:v>
      </x:c>
      <x:c r="J10" s="25" t="n">
        <x:v>4.2</x:v>
      </x:c>
    </x:row>
    <x:row r="11">
      <x:c r="A11" s="17" t="str">
        <x:v>Content, moderation and genealogy operations</x:v>
      </x:c>
      <x:c r="B11" s="25" t="n">
        <x:v>0.8</x:v>
      </x:c>
      <x:c r="C11" s="25" t="n">
        <x:v>1</x:v>
      </x:c>
      <x:c r="D11" s="25" t="n">
        <x:v>1.2</x:v>
      </x:c>
      <x:c r="E11" s="25" t="n">
        <x:v>1.8</x:v>
      </x:c>
      <x:c r="F11" s="25" t="n">
        <x:v>2.2</x:v>
      </x:c>
      <x:c r="G11" s="25" t="n">
        <x:v>2.7</x:v>
      </x:c>
      <x:c r="H11" s="25" t="n">
        <x:v>3.5</x:v>
      </x:c>
      <x:c r="I11" s="25" t="n">
        <x:v>4.2</x:v>
      </x:c>
      <x:c r="J11" s="25" t="n">
        <x:v>5</x:v>
      </x:c>
    </x:row>
    <x:row r="12">
      <x:c r="A12" s="17" t="str">
        <x:v>Licences, devices, training and administration</x:v>
      </x:c>
      <x:c r="B12" s="25" t="n">
        <x:v>0.4</x:v>
      </x:c>
      <x:c r="C12" s="25" t="n">
        <x:v>0.5</x:v>
      </x:c>
      <x:c r="D12" s="25" t="n">
        <x:v>0.6</x:v>
      </x:c>
      <x:c r="E12" s="25" t="n">
        <x:v>0.8</x:v>
      </x:c>
      <x:c r="F12" s="25" t="n">
        <x:v>1</x:v>
      </x:c>
      <x:c r="G12" s="25" t="n">
        <x:v>1.2</x:v>
      </x:c>
      <x:c r="H12" s="25" t="n">
        <x:v>1.4</x:v>
      </x:c>
      <x:c r="I12" s="25" t="n">
        <x:v>1.7</x:v>
      </x:c>
      <x:c r="J12" s="25" t="n">
        <x:v>2</x:v>
      </x:c>
    </x:row>
    <x:row r="13">
      <x:c r="A13" s="33" t="str">
        <x:v>Annual total</x:v>
      </x:c>
      <x:c r="B13" s="34" t="n">
        <x:f>SUM(B5:B12)</x:f>
        <x:v>7.8</x:v>
      </x:c>
      <x:c r="C13" s="34" t="n">
        <x:f>SUM(C5:C12)</x:f>
        <x:v>9.6</x:v>
      </x:c>
      <x:c r="D13" s="34" t="n">
        <x:f>SUM(D5:D12)</x:f>
        <x:v>11.6</x:v>
      </x:c>
      <x:c r="E13" s="34" t="n">
        <x:f>SUM(E5:E12)</x:f>
        <x:v>16</x:v>
      </x:c>
      <x:c r="F13" s="34" t="n">
        <x:f>SUM(F5:F12)</x:f>
        <x:v>19.299999999999997</x:v>
      </x:c>
      <x:c r="G13" s="34" t="n">
        <x:f>SUM(G5:G12)</x:f>
        <x:v>23.5</x:v>
      </x:c>
      <x:c r="H13" s="34" t="n">
        <x:f>SUM(H5:H12)</x:f>
        <x:v>28.6</x:v>
      </x:c>
      <x:c r="I13" s="34" t="n">
        <x:f>SUM(I5:I12)</x:f>
        <x:v>34.5</x:v>
      </x:c>
      <x:c r="J13" s="34" t="n">
        <x:f>SUM(J5:J12)</x:f>
        <x:v>42.1</x:v>
      </x:c>
    </x:row>
    <x:row r="14">
      <x:c r="A14" s="33" t="str">
        <x:v>Three-year total</x:v>
      </x:c>
      <x:c r="B14" s="34" t="n">
        <x:f>SUM(B13:D13)</x:f>
        <x:v>29</x:v>
      </x:c>
      <x:c r="C14" s="34"/>
      <x:c r="D14" s="34"/>
      <x:c r="E14" s="34" t="n">
        <x:f>SUM(E13:G13)</x:f>
        <x:v>58.8</x:v>
      </x:c>
      <x:c r="F14" s="34"/>
      <x:c r="G14" s="34"/>
      <x:c r="H14" s="34" t="n">
        <x:f>SUM(H13:J13)</x:f>
        <x:v>105.2</x:v>
      </x:c>
      <x:c r="I14" s="34"/>
      <x:c r="J14" s="34"/>
    </x:row>
  </x:sheetData>
  <x:mergeCells>
    <x:mergeCell ref="A1:K1"/>
    <x:mergeCell ref="A2:K2"/>
    <x:mergeCell ref="B14:D14"/>
    <x:mergeCell ref="E14:G14"/>
    <x:mergeCell ref="H14:J14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0" hidden="0" customWidth="1"/>
    <x:col min="2" max="2" width="25" hidden="0" customWidth="1"/>
    <x:col min="3" max="3" width="25" hidden="0" customWidth="1"/>
    <x:col min="4" max="4" width="25" hidden="0" customWidth="1"/>
  </x:cols>
  <x:sheetData>
    <x:row r="1" ht="32" customHeight="1">
      <x:c r="A1" s="2" t="str">
        <x:v>Three-Year Total Cost of Ownership</x:v>
      </x:c>
      <x:c r="B1" s="2"/>
      <x:c r="C1" s="2"/>
      <x:c r="D1" s="2"/>
      <x:c r="E1" s="2"/>
      <x:c r="F1" s="2"/>
    </x:row>
    <x:row r="2" ht="28" customHeight="1">
      <x:c r="A2" s="5" t="str">
        <x:v>Decision view; NPR millions. Recommended is the approved planning baseline, not a vendor quotation.</x:v>
      </x:c>
      <x:c r="B2" s="5"/>
      <x:c r="C2" s="5"/>
      <x:c r="D2" s="5"/>
      <x:c r="E2" s="5"/>
      <x:c r="F2" s="5"/>
    </x:row>
    <x:row r="4">
      <x:c r="A4" s="11" t="str">
        <x:v>Cost layer</x:v>
      </x:c>
      <x:c r="B4" s="11" t="str">
        <x:v>Minimum professional</x:v>
      </x:c>
      <x:c r="C4" s="11" t="str">
        <x:v>Recommended baseline</x:v>
      </x:c>
      <x:c r="D4" s="11" t="str">
        <x:v>Enterprise strengthened</x:v>
      </x:c>
    </x:row>
    <x:row r="5">
      <x:c r="A5" s="16" t="str">
        <x:v>Implementation subtotal</x:v>
      </x:c>
      <x:c r="B5" s="24" t="n">
        <x:f>'Implementation Budget'!B17</x:f>
        <x:v>19</x:v>
      </x:c>
      <x:c r="C5" s="24" t="n">
        <x:f>'Implementation Budget'!C17</x:f>
        <x:v>37.7</x:v>
      </x:c>
      <x:c r="D5" s="24" t="n">
        <x:f>'Implementation Budget'!D17</x:f>
        <x:v>61.099999999999994</x:v>
      </x:c>
    </x:row>
    <x:row r="6">
      <x:c r="A6" s="17" t="str">
        <x:v>Implementation contingency</x:v>
      </x:c>
      <x:c r="B6" s="25" t="n">
        <x:f>'Implementation Budget'!B18</x:f>
        <x:v>2.85</x:v>
      </x:c>
      <x:c r="C6" s="25" t="n">
        <x:f>'Implementation Budget'!C18</x:f>
        <x:v>5.655</x:v>
      </x:c>
      <x:c r="D6" s="25" t="n">
        <x:f>'Implementation Budget'!D18</x:f>
        <x:v>9.165</x:v>
      </x:c>
    </x:row>
    <x:row r="7">
      <x:c r="A7" s="17" t="str">
        <x:v>Implementation incl. contingency, excl. VAT</x:v>
      </x:c>
      <x:c r="B7" s="25" t="n">
        <x:f>'Implementation Budget'!B19</x:f>
        <x:v>21.85</x:v>
      </x:c>
      <x:c r="C7" s="25" t="n">
        <x:f>'Implementation Budget'!C19</x:f>
        <x:v>43.355000000000004</x:v>
      </x:c>
      <x:c r="D7" s="25" t="n">
        <x:f>'Implementation Budget'!D19</x:f>
        <x:v>70.26499999999999</x:v>
      </x:c>
    </x:row>
    <x:row r="8">
      <x:c r="A8" s="17" t="str">
        <x:v>Three-year operations, excl. VAT</x:v>
      </x:c>
      <x:c r="B8" s="25" t="n">
        <x:f>'Operating Costs'!B14</x:f>
        <x:v>29</x:v>
      </x:c>
      <x:c r="C8" s="25" t="n">
        <x:f>'Operating Costs'!E14</x:f>
        <x:v>58.8</x:v>
      </x:c>
      <x:c r="D8" s="25" t="n">
        <x:f>'Operating Costs'!H14</x:f>
        <x:v>105.2</x:v>
      </x:c>
    </x:row>
    <x:row r="9">
      <x:c r="A9" s="36" t="str">
        <x:v>Three-year TCO, excl. VAT</x:v>
      </x:c>
      <x:c r="B9" s="40" t="n">
        <x:f>B7+B8</x:f>
        <x:v>50.85</x:v>
      </x:c>
      <x:c r="C9" s="40" t="n">
        <x:f>C7+C8</x:f>
        <x:v>102.155</x:v>
      </x:c>
      <x:c r="D9" s="40" t="n">
        <x:f>D7+D8</x:f>
        <x:v>175.46499999999997</x:v>
      </x:c>
    </x:row>
    <x:row r="10">
      <x:c r="A10" s="17" t="str">
        <x:v>Illustrative VAT if fully applicable</x:v>
      </x:c>
      <x:c r="B10" s="25" t="n">
        <x:f>B9*Assumptions!$B$16</x:f>
        <x:v>6.6105</x:v>
      </x:c>
      <x:c r="C10" s="25" t="n">
        <x:f>C9*Assumptions!$B$16</x:f>
        <x:v>13.28015</x:v>
      </x:c>
      <x:c r="D10" s="25" t="n">
        <x:f>D9*Assumptions!$B$16</x:f>
        <x:v>22.810449999999996</x:v>
      </x:c>
    </x:row>
    <x:row r="11">
      <x:c r="A11" s="39" t="str">
        <x:v>Three-year TCO incl. illustrative VAT</x:v>
      </x:c>
      <x:c r="B11" s="41" t="n">
        <x:f>B9+B10</x:f>
        <x:v>57.4605</x:v>
      </x:c>
      <x:c r="C11" s="41" t="n">
        <x:f>C9+C10</x:f>
        <x:v>115.43515000000001</x:v>
      </x:c>
      <x:c r="D11" s="41" t="n">
        <x:f>D9+D10</x:f>
        <x:v>198.27544999999998</x:v>
      </x:c>
    </x:row>
    <x:row r="14" ht="48" customHeight="1">
      <x:c r="A14" s="44" t="str">
        <x:v>PLANNING RECOMMENDATION: Adopt the Recommended baseline. Release funds by gated phases; procure cloud/SMS/map services using live quotations; and reforecast quarterly against actual usage.</x:v>
      </x:c>
      <x:c r="B14" s="44"/>
      <x:c r="C14" s="44"/>
      <x:c r="D14" s="44"/>
    </x:row>
  </x:sheetData>
  <x:mergeCells>
    <x:mergeCell ref="A1:F1"/>
    <x:mergeCell ref="A2:F2"/>
    <x:mergeCell ref="A14:D14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6" hidden="0" customWidth="1"/>
    <x:col min="2" max="2" width="28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</x:cols>
  <x:sheetData>
    <x:row r="1" ht="32" customHeight="1">
      <x:c r="A1" s="2" t="str">
        <x:v>Staffing and Delivery Capacity</x:v>
      </x:c>
      <x:c r="B1" s="2"/>
      <x:c r="C1" s="2"/>
      <x:c r="D1" s="2"/>
      <x:c r="E1" s="2"/>
      <x:c r="F1" s="2"/>
      <x:c r="G1" s="2"/>
    </x:row>
    <x:row r="2" ht="28" customHeight="1">
      <x:c r="A2" s="5" t="str">
        <x:v>No individual salary rates. Capacity is shown as indicative concurrent FTE ranges and sourcing model.</x:v>
      </x:c>
      <x:c r="B2" s="5"/>
      <x:c r="C2" s="5"/>
      <x:c r="D2" s="5"/>
      <x:c r="E2" s="5"/>
      <x:c r="F2" s="5"/>
      <x:c r="G2" s="5"/>
    </x:row>
    <x:row r="4">
      <x:c r="A4" s="11" t="str">
        <x:v>Capability</x:v>
      </x:c>
      <x:c r="B4" s="11" t="str">
        <x:v>Primary source</x:v>
      </x:c>
      <x:c r="C4" s="11" t="str">
        <x:v>Min low</x:v>
      </x:c>
      <x:c r="D4" s="11" t="str">
        <x:v>Min high</x:v>
      </x:c>
      <x:c r="E4" s="11" t="str">
        <x:v>Rec low</x:v>
      </x:c>
      <x:c r="F4" s="11" t="str">
        <x:v>Rec high</x:v>
      </x:c>
      <x:c r="G4" s="11" t="str">
        <x:v>Enterprise high</x:v>
      </x:c>
    </x:row>
    <x:row r="5">
      <x:c r="A5" s="16" t="str">
        <x:v>Executive sponsorship and product ownership</x:v>
      </x:c>
      <x:c r="B5" s="16" t="str">
        <x:v>Jyphra</x:v>
      </x:c>
      <x:c r="C5" s="16" t="n">
        <x:v>1</x:v>
      </x:c>
      <x:c r="D5" s="16" t="n">
        <x:v>2</x:v>
      </x:c>
      <x:c r="E5" s="16" t="n">
        <x:v>1</x:v>
      </x:c>
      <x:c r="F5" s="16" t="n">
        <x:v>2</x:v>
      </x:c>
      <x:c r="G5" s="16" t="n">
        <x:v>2</x:v>
      </x:c>
    </x:row>
    <x:row r="6">
      <x:c r="A6" s="17" t="str">
        <x:v>Program management and business analysis</x:v>
      </x:c>
      <x:c r="B6" s="17" t="str">
        <x:v>Jyphra-led hybrid</x:v>
      </x:c>
      <x:c r="C6" s="17" t="n">
        <x:v>2</x:v>
      </x:c>
      <x:c r="D6" s="17" t="n">
        <x:v>3</x:v>
      </x:c>
      <x:c r="E6" s="17" t="n">
        <x:v>3</x:v>
      </x:c>
      <x:c r="F6" s="17" t="n">
        <x:v>4</x:v>
      </x:c>
      <x:c r="G6" s="17" t="n">
        <x:v>6</x:v>
      </x:c>
    </x:row>
    <x:row r="7">
      <x:c r="A7" s="17" t="str">
        <x:v>UX/UI and accessibility</x:v>
      </x:c>
      <x:c r="B7" s="17" t="str">
        <x:v>Hybrid</x:v>
      </x:c>
      <x:c r="C7" s="17" t="n">
        <x:v>1</x:v>
      </x:c>
      <x:c r="D7" s="17" t="n">
        <x:v>2</x:v>
      </x:c>
      <x:c r="E7" s="17" t="n">
        <x:v>2</x:v>
      </x:c>
      <x:c r="F7" s="17" t="n">
        <x:v>3</x:v>
      </x:c>
      <x:c r="G7" s="17" t="n">
        <x:v>4</x:v>
      </x:c>
    </x:row>
    <x:row r="8">
      <x:c r="A8" s="17" t="str">
        <x:v>Mobile engineering</x:v>
      </x:c>
      <x:c r="B8" s="17" t="str">
        <x:v>Hybrid</x:v>
      </x:c>
      <x:c r="C8" s="17" t="n">
        <x:v>3</x:v>
      </x:c>
      <x:c r="D8" s="17" t="n">
        <x:v>4</x:v>
      </x:c>
      <x:c r="E8" s="17" t="n">
        <x:v>5</x:v>
      </x:c>
      <x:c r="F8" s="17" t="n">
        <x:v>7</x:v>
      </x:c>
      <x:c r="G8" s="17" t="n">
        <x:v>10</x:v>
      </x:c>
    </x:row>
    <x:row r="9">
      <x:c r="A9" s="17" t="str">
        <x:v>Backend/platform engineering</x:v>
      </x:c>
      <x:c r="B9" s="17" t="str">
        <x:v>Hybrid</x:v>
      </x:c>
      <x:c r="C9" s="17" t="n">
        <x:v>3</x:v>
      </x:c>
      <x:c r="D9" s="17" t="n">
        <x:v>4</x:v>
      </x:c>
      <x:c r="E9" s="17" t="n">
        <x:v>5</x:v>
      </x:c>
      <x:c r="F9" s="17" t="n">
        <x:v>7</x:v>
      </x:c>
      <x:c r="G9" s="17" t="n">
        <x:v>11</x:v>
      </x:c>
    </x:row>
    <x:row r="10">
      <x:c r="A10" s="17" t="str">
        <x:v>Admin web engineering</x:v>
      </x:c>
      <x:c r="B10" s="17" t="str">
        <x:v>Hybrid</x:v>
      </x:c>
      <x:c r="C10" s="17" t="n">
        <x:v>1</x:v>
      </x:c>
      <x:c r="D10" s="17" t="n">
        <x:v>2</x:v>
      </x:c>
      <x:c r="E10" s="17" t="n">
        <x:v>2</x:v>
      </x:c>
      <x:c r="F10" s="17" t="n">
        <x:v>3</x:v>
      </x:c>
      <x:c r="G10" s="17" t="n">
        <x:v>5</x:v>
      </x:c>
    </x:row>
    <x:row r="11">
      <x:c r="A11" s="17" t="str">
        <x:v>QA and test automation</x:v>
      </x:c>
      <x:c r="B11" s="17" t="str">
        <x:v>Hybrid/independent</x:v>
      </x:c>
      <x:c r="C11" s="17" t="n">
        <x:v>2</x:v>
      </x:c>
      <x:c r="D11" s="17" t="n">
        <x:v>3</x:v>
      </x:c>
      <x:c r="E11" s="17" t="n">
        <x:v>3</x:v>
      </x:c>
      <x:c r="F11" s="17" t="n">
        <x:v>5</x:v>
      </x:c>
      <x:c r="G11" s="17" t="n">
        <x:v>7</x:v>
      </x:c>
    </x:row>
    <x:row r="12">
      <x:c r="A12" s="17" t="str">
        <x:v>DevOps/SRE and security</x:v>
      </x:c>
      <x:c r="B12" s="17" t="str">
        <x:v>Hybrid/specialist</x:v>
      </x:c>
      <x:c r="C12" s="17" t="n">
        <x:v>1</x:v>
      </x:c>
      <x:c r="D12" s="17" t="n">
        <x:v>2</x:v>
      </x:c>
      <x:c r="E12" s="17" t="n">
        <x:v>2</x:v>
      </x:c>
      <x:c r="F12" s="17" t="n">
        <x:v>3</x:v>
      </x:c>
      <x:c r="G12" s="17" t="n">
        <x:v>5</x:v>
      </x:c>
    </x:row>
    <x:row r="13">
      <x:c r="A13" s="17" t="str">
        <x:v>Data migration/genealogy operations</x:v>
      </x:c>
      <x:c r="B13" s="17" t="str">
        <x:v>Jyphra/community-led</x:v>
      </x:c>
      <x:c r="C13" s="17" t="n">
        <x:v>2</x:v>
      </x:c>
      <x:c r="D13" s="17" t="n">
        <x:v>4</x:v>
      </x:c>
      <x:c r="E13" s="17" t="n">
        <x:v>4</x:v>
      </x:c>
      <x:c r="F13" s="17" t="n">
        <x:v>7</x:v>
      </x:c>
      <x:c r="G13" s="17" t="n">
        <x:v>12</x:v>
      </x:c>
    </x:row>
    <x:row r="14">
      <x:c r="A14" s="17" t="str">
        <x:v>Content/localization/moderation preparation</x:v>
      </x:c>
      <x:c r="B14" s="17" t="str">
        <x:v>Jyphra/community-led</x:v>
      </x:c>
      <x:c r="C14" s="17" t="n">
        <x:v>2</x:v>
      </x:c>
      <x:c r="D14" s="17" t="n">
        <x:v>3</x:v>
      </x:c>
      <x:c r="E14" s="17" t="n">
        <x:v>3</x:v>
      </x:c>
      <x:c r="F14" s="17" t="n">
        <x:v>5</x:v>
      </x:c>
      <x:c r="G14" s="17" t="n">
        <x:v>8</x:v>
      </x:c>
    </x:row>
    <x:row r="15">
      <x:c r="A15" s="45" t="str">
        <x:v>Indicative concurrent delivery capacity</x:v>
      </x:c>
      <x:c r="B15" s="45"/>
      <x:c r="C15" s="45" t="n">
        <x:f>SUM(C5:C14)</x:f>
        <x:v>18</x:v>
      </x:c>
      <x:c r="D15" s="45" t="n">
        <x:f>SUM(D5:D14)</x:f>
        <x:v>29</x:v>
      </x:c>
      <x:c r="E15" s="45" t="n">
        <x:f>SUM(E5:E14)</x:f>
        <x:v>30</x:v>
      </x:c>
      <x:c r="F15" s="45" t="n">
        <x:f>SUM(F5:F14)</x:f>
        <x:v>46</x:v>
      </x:c>
      <x:c r="G15" s="45" t="n">
        <x:f>SUM(G5:G14)</x:f>
        <x:v>70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36" hidden="0" customWidth="1"/>
    <x:col min="3" max="3" width="14" hidden="0" customWidth="1"/>
    <x:col min="4" max="4" width="66" hidden="0" customWidth="1"/>
    <x:col min="5" max="5" width="34" hidden="0" customWidth="1"/>
  </x:cols>
  <x:sheetData>
    <x:row r="1" ht="32" customHeight="1">
      <x:c r="A1" s="2" t="str">
        <x:v>Phase Funding and Approval Gates</x:v>
      </x:c>
      <x:c r="B1" s="2"/>
      <x:c r="C1" s="2"/>
      <x:c r="D1" s="2"/>
      <x:c r="E1" s="2"/>
      <x:c r="F1" s="2"/>
    </x:row>
    <x:row r="2" ht="28" customHeight="1">
      <x:c r="A2" s="5" t="str">
        <x:v>Percentages apply to the chosen implementation scenario before contingency and tax.</x:v>
      </x:c>
      <x:c r="B2" s="5"/>
      <x:c r="C2" s="5"/>
      <x:c r="D2" s="5"/>
      <x:c r="E2" s="5"/>
      <x:c r="F2" s="5"/>
    </x:row>
    <x:row r="4">
      <x:c r="A4" s="11" t="str">
        <x:v>Gate</x:v>
      </x:c>
      <x:c r="B4" s="11" t="str">
        <x:v>Phase</x:v>
      </x:c>
      <x:c r="C4" s="11" t="str">
        <x:v>Share</x:v>
      </x:c>
      <x:c r="D4" s="11" t="str">
        <x:v>Release evidence</x:v>
      </x:c>
      <x:c r="E4" s="11" t="str">
        <x:v>Approval owner</x:v>
      </x:c>
    </x:row>
    <x:row r="5">
      <x:c r="A5" s="16" t="str">
        <x:v>G0</x:v>
      </x:c>
      <x:c r="B5" s="16" t="str">
        <x:v>Mobilization and validated backlog</x:v>
      </x:c>
      <x:c r="C5" s="46" t="n">
        <x:v>0.1</x:v>
      </x:c>
      <x:c r="D5" s="16" t="str">
        <x:v>Signed charter, governance, architecture decisions, executable backlog</x:v>
      </x:c>
      <x:c r="E5" s="16" t="str">
        <x:v>Jyphra Product Owner + Sponsor</x:v>
      </x:c>
    </x:row>
    <x:row r="6">
      <x:c r="A6" s="17" t="str">
        <x:v>G1</x:v>
      </x:c>
      <x:c r="B6" s="17" t="str">
        <x:v>UX, architecture and foundations</x:v>
      </x:c>
      <x:c r="C6" s="47" t="n">
        <x:v>0.15</x:v>
      </x:c>
      <x:c r="D6" s="17" t="str">
        <x:v>Approved prototype, threat model, environments and CI/CD</x:v>
      </x:c>
      <x:c r="E6" s="17" t="str">
        <x:v>Jyphra Product + Technology</x:v>
      </x:c>
    </x:row>
    <x:row r="7">
      <x:c r="A7" s="17" t="str">
        <x:v>G2</x:v>
      </x:c>
      <x:c r="B7" s="17" t="str">
        <x:v>Core identity and genealogy</x:v>
      </x:c>
      <x:c r="C7" s="47" t="n">
        <x:v>0.25</x:v>
      </x:c>
      <x:c r="D7" s="17" t="str">
        <x:v>Demonstrated core workflows, audit and migration pilot</x:v>
      </x:c>
      <x:c r="E7" s="17" t="str">
        <x:v>Jyphra Product + Genealogy Authority</x:v>
      </x:c>
    </x:row>
    <x:row r="8">
      <x:c r="A8" s="17" t="str">
        <x:v>G3</x:v>
      </x:c>
      <x:c r="B8" s="17" t="str">
        <x:v>Community, chat and administration</x:v>
      </x:c>
      <x:c r="C8" s="47" t="n">
        <x:v>0.25</x:v>
      </x:c>
      <x:c r="D8" s="17" t="str">
        <x:v>Feature-complete test build and operational controls</x:v>
      </x:c>
      <x:c r="E8" s="17" t="str">
        <x:v>Jyphra Product + QA</x:v>
      </x:c>
    </x:row>
    <x:row r="9">
      <x:c r="A9" s="17" t="str">
        <x:v>G4</x:v>
      </x:c>
      <x:c r="B9" s="17" t="str">
        <x:v>Hardening and UAT</x:v>
      </x:c>
      <x:c r="C9" s="47" t="n">
        <x:v>0.15</x:v>
      </x:c>
      <x:c r="D9" s="17" t="str">
        <x:v>Security/performance tests, UAT acceptance, store package</x:v>
      </x:c>
      <x:c r="E9" s="17" t="str">
        <x:v>Jyphra Release Board</x:v>
      </x:c>
    </x:row>
    <x:row r="10">
      <x:c r="A10" s="17" t="str">
        <x:v>G5</x:v>
      </x:c>
      <x:c r="B10" s="17" t="str">
        <x:v>Launch and stabilization</x:v>
      </x:c>
      <x:c r="C10" s="47" t="n">
        <x:v>0.1</x:v>
      </x:c>
      <x:c r="D10" s="17" t="str">
        <x:v>Production launch, monitoring, handover and warranty entry</x:v>
      </x:c>
      <x:c r="E10" s="17" t="str">
        <x:v>Jyphra Sponsor</x:v>
      </x:c>
    </x:row>
    <x:row r="11">
      <x:c r="A11" s="51" t="str">
        <x:v>Control</x:v>
      </x:c>
      <x:c r="B11" s="51" t="str">
        <x:f>IF(SUM(C5:C10)=1,"PASS — allocations equal 100%","FAIL — allocations do not equal 100%")</x:f>
        <x:v>PASS — allocations equal 100%</x:v>
      </x:c>
      <x:c r="C11" s="51"/>
      <x:c r="D11" s="51"/>
      <x:c r="E11" s="51"/>
    </x:row>
  </x:sheetData>
  <x:mergeCells>
    <x:mergeCell ref="A1:F1"/>
    <x:mergeCell ref="A2:F2"/>
    <x:mergeCell ref="B11:E1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44" hidden="0" customWidth="1"/>
    <x:col min="3" max="3" width="16" hidden="0" customWidth="1"/>
    <x:col min="4" max="4" width="28" hidden="0" customWidth="1"/>
    <x:col min="5" max="5" width="58" hidden="0" customWidth="1"/>
    <x:col min="6" max="6" width="60" hidden="0" customWidth="1"/>
    <x:col min="7" max="7" width="28" hidden="0" customWidth="1"/>
  </x:cols>
  <x:sheetData>
    <x:row r="1" ht="32" customHeight="1">
      <x:c r="A1" s="2" t="str">
        <x:v>Sources, Limitations and Refresh Rules</x:v>
      </x:c>
      <x:c r="B1" s="2"/>
      <x:c r="C1" s="2"/>
      <x:c r="D1" s="2"/>
      <x:c r="E1" s="2"/>
      <x:c r="F1" s="2"/>
      <x:c r="G1" s="2"/>
      <x:c r="H1" s="2"/>
    </x:row>
    <x:row r="2" ht="28" customHeight="1">
      <x:c r="A2" s="5" t="str">
        <x:v>External prices are volatile; validate quotations before procurement or contract signature.</x:v>
      </x:c>
      <x:c r="B2" s="5"/>
      <x:c r="C2" s="5"/>
      <x:c r="D2" s="5"/>
      <x:c r="E2" s="5"/>
      <x:c r="F2" s="5"/>
      <x:c r="G2" s="5"/>
      <x:c r="H2" s="5"/>
    </x:row>
    <x:row r="4">
      <x:c r="A4" s="11" t="str">
        <x:v>Input</x:v>
      </x:c>
      <x:c r="B4" s="11" t="str">
        <x:v>Value</x:v>
      </x:c>
      <x:c r="C4" s="11" t="str">
        <x:v>As of</x:v>
      </x:c>
      <x:c r="D4" s="11" t="str">
        <x:v>Source</x:v>
      </x:c>
      <x:c r="E4" s="11" t="str">
        <x:v>URL</x:v>
      </x:c>
      <x:c r="F4" s="11" t="str">
        <x:v>Use / limitation</x:v>
      </x:c>
      <x:c r="G4" s="11" t="str">
        <x:v>Owner</x:v>
      </x:c>
    </x:row>
    <x:row r="5">
      <x:c r="A5" s="16" t="str">
        <x:v>USD/NPR selling rate</x:v>
      </x:c>
      <x:c r="B5" s="16" t="str">
        <x:v>151.48 NPR/USD</x:v>
      </x:c>
      <x:c r="C5" s="16" t="str">
        <x:v>2026-09-08</x:v>
      </x:c>
      <x:c r="D5" s="16" t="str">
        <x:v>Nepal Rastra Bank</x:v>
      </x:c>
      <x:c r="E5" s="16" t="str">
        <x:v>https://www.nrb.org.np/forex/</x:v>
      </x:c>
      <x:c r="F5" s="16" t="str">
        <x:v>Official daily rate; model values are NPR</x:v>
      </x:c>
      <x:c r="G5" s="16" t="str">
        <x:v>Jyphra Finance/Procurement</x:v>
      </x:c>
    </x:row>
    <x:row r="6">
      <x:c r="A6" s="17" t="str">
        <x:v>Firebase pricing</x:v>
      </x:c>
      <x:c r="B6" s="17" t="str">
        <x:v>Pay-as-you-go / usage based</x:v>
      </x:c>
      <x:c r="C6" s="17" t="str">
        <x:v>2026-09-08</x:v>
      </x:c>
      <x:c r="D6" s="17" t="str">
        <x:v>Google Firebase</x:v>
      </x:c>
      <x:c r="E6" s="17" t="str">
        <x:v>https://firebase.google.com/pricing</x:v>
      </x:c>
      <x:c r="F6" s="17" t="str">
        <x:v>Use current calculator and Nepal SMS rate at procurement</x:v>
      </x:c>
      <x:c r="G6" s="17" t="str">
        <x:v>Jyphra Finance/Procurement</x:v>
      </x:c>
    </x:row>
    <x:row r="7">
      <x:c r="A7" s="17" t="str">
        <x:v>AWS compute pricing</x:v>
      </x:c>
      <x:c r="B7" s="17" t="str">
        <x:v>Usage and region dependent</x:v>
      </x:c>
      <x:c r="C7" s="17" t="str">
        <x:v>2026-09-08</x:v>
      </x:c>
      <x:c r="D7" s="17" t="str">
        <x:v>Amazon Web Services</x:v>
      </x:c>
      <x:c r="E7" s="17" t="str">
        <x:v>https://aws.amazon.com/ec2/pricing/</x:v>
      </x:c>
      <x:c r="F7" s="17" t="str">
        <x:v>Hybrid-cloud benchmark; architecture is vendor-neutral</x:v>
      </x:c>
      <x:c r="G7" s="17" t="str">
        <x:v>Jyphra Finance/Procurement</x:v>
      </x:c>
    </x:row>
    <x:row r="8">
      <x:c r="A8" s="17" t="str">
        <x:v>AWS managed database pricing</x:v>
      </x:c>
      <x:c r="B8" s="17" t="str">
        <x:v>Usage and region dependent</x:v>
      </x:c>
      <x:c r="C8" s="17" t="str">
        <x:v>2026-09-08</x:v>
      </x:c>
      <x:c r="D8" s="17" t="str">
        <x:v>Amazon Web Services</x:v>
      </x:c>
      <x:c r="E8" s="17" t="str">
        <x:v>https://aws.amazon.com/rds/pricing/</x:v>
      </x:c>
      <x:c r="F8" s="17" t="str">
        <x:v>Confirm selected region, HA, backups and transfer</x:v>
      </x:c>
      <x:c r="G8" s="17" t="str">
        <x:v>Jyphra Finance/Procurement</x:v>
      </x:c>
    </x:row>
    <x:row r="9">
      <x:c r="A9" s="17" t="str">
        <x:v>Nepal software engineer compensation</x:v>
      </x:c>
      <x:c r="B9" s="17" t="str">
        <x:v>Published range NPR 526k–1.397m annual; broad market signal only</x:v>
      </x:c>
      <x:c r="C9" s="17" t="str">
        <x:v>2026-09-08</x:v>
      </x:c>
      <x:c r="D9" s="17" t="str">
        <x:v>Levels.fyi</x:v>
      </x:c>
      <x:c r="E9" s="17" t="str">
        <x:v>https://www.levels.fyi/t/software-engineer/locations/nepal</x:v>
      </x:c>
      <x:c r="F9" s="17" t="str">
        <x:v>Not used to disclose individual rates</x:v>
      </x:c>
      <x:c r="G9" s="17" t="str">
        <x:v>Jyphra Finance/Procurement</x:v>
      </x:c>
    </x:row>
    <x:row r="10">
      <x:c r="A10" s="17" t="str">
        <x:v>Nepal outsourcing benchmark</x:v>
      </x:c>
      <x:c r="B10" s="17" t="str">
        <x:v>USD 20–40/hour indicative</x:v>
      </x:c>
      <x:c r="C10" s="17" t="str">
        <x:v>2026-09-08</x:v>
      </x:c>
      <x:c r="D10" s="17" t="str">
        <x:v>Bytecode Developers</x:v>
      </x:c>
      <x:c r="E10" s="17" t="str">
        <x:v>https://bytecodedevelopers.com/blog/why-outsourcing-to-nepal-saves-big</x:v>
      </x:c>
      <x:c r="F10" s="17" t="str">
        <x:v>Commercial source; triangulation only</x:v>
      </x:c>
      <x:c r="G10" s="17" t="str">
        <x:v>Jyphra Finance/Procurement</x:v>
      </x:c>
    </x:row>
    <x:row r="11">
      <x:c r="A11" s="17" t="str">
        <x:v>VAT/tax treatment</x:v>
      </x:c>
      <x:c r="B11" s="17" t="str">
        <x:v>13% illustrative model assumption</x:v>
      </x:c>
      <x:c r="C11" s="17" t="str">
        <x:v>2026-09-08</x:v>
      </x:c>
      <x:c r="D11" s="17" t="str">
        <x:v>Jyphra planning assumption</x:v>
      </x:c>
      <x:c r="E11" s="17" t="str">
        <x:v>https://ird.gov.np/</x:v>
      </x:c>
      <x:c r="F11" s="17" t="str">
        <x:v>Tax adviser must confirm taxable base, withholding and exemptions</x:v>
      </x:c>
      <x:c r="G11" s="17" t="str">
        <x:v>Jyphra Finance/Procurement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6" hidden="0" customWidth="1"/>
    <x:col min="3" max="3" width="16" hidden="0" customWidth="1"/>
    <x:col min="4" max="4" width="24" hidden="0" customWidth="1"/>
    <x:col min="5" max="5" width="36" hidden="0" customWidth="1"/>
  </x:cols>
  <x:sheetData>
    <x:row r="1" ht="32" customHeight="1">
      <x:c r="A1" s="2" t="str">
        <x:v>Model Checks</x:v>
      </x:c>
      <x:c r="B1" s="2"/>
      <x:c r="C1" s="2"/>
      <x:c r="D1" s="2"/>
      <x:c r="E1" s="2"/>
    </x:row>
    <x:row r="2" ht="28" customHeight="1">
      <x:c r="A2" s="5" t="str">
        <x:v>PASS means structural arithmetic controls reconcile; it does not convert estimates into supplier quotations.</x:v>
      </x:c>
      <x:c r="B2" s="5"/>
      <x:c r="C2" s="5"/>
      <x:c r="D2" s="5"/>
      <x:c r="E2" s="5"/>
    </x:row>
    <x:row r="4">
      <x:c r="A4" s="11" t="str">
        <x:v>Check</x:v>
      </x:c>
      <x:c r="B4" s="11" t="str">
        <x:v>Result</x:v>
      </x:c>
      <x:c r="C4" s="11" t="str">
        <x:v>Delta</x:v>
      </x:c>
      <x:c r="D4" s="11" t="str">
        <x:v>Where to fix</x:v>
      </x:c>
      <x:c r="E4" s="11" t="str">
        <x:v>Notes</x:v>
      </x:c>
    </x:row>
    <x:row r="5">
      <x:c r="A5" s="16" t="str">
        <x:v>Funding allocation equals 100%</x:v>
      </x:c>
      <x:c r="B5" s="16" t="str">
        <x:f>IF(ABS(SUM('Funding Gates'!C5:C10)-1)&lt;0.0001,"PASS","FAIL")</x:f>
        <x:v>PASS</x:v>
      </x:c>
      <x:c r="C5" s="16" t="n">
        <x:f>SUM('Funding Gates'!C5:C10)-1</x:f>
        <x:v>0</x:v>
      </x:c>
      <x:c r="D5" s="16" t="str">
        <x:v>Funding Gates</x:v>
      </x:c>
      <x:c r="E5" s="16" t="str">
        <x:v>Must equal zero</x:v>
      </x:c>
    </x:row>
    <x:row r="6">
      <x:c r="A6" s="17" t="str">
        <x:v>Recommended TCO exceeds minimum</x:v>
      </x:c>
      <x:c r="B6" s="17" t="str">
        <x:f>IF('TCO Summary'!C9&gt;'TCO Summary'!B9,"PASS","FAIL")</x:f>
        <x:v>PASS</x:v>
      </x:c>
      <x:c r="C6" s="17"/>
      <x:c r="D6" s="17" t="str">
        <x:v>TCO Summary</x:v>
      </x:c>
      <x:c r="E6" s="17" t="str">
        <x:v>Scenario ordering</x:v>
      </x:c>
    </x:row>
    <x:row r="7">
      <x:c r="A7" s="17" t="str">
        <x:v>Enterprise TCO exceeds recommended</x:v>
      </x:c>
      <x:c r="B7" s="17" t="str">
        <x:f>IF('TCO Summary'!D9&gt;'TCO Summary'!C9,"PASS","FAIL")</x:f>
        <x:v>PASS</x:v>
      </x:c>
      <x:c r="C7" s="17"/>
      <x:c r="D7" s="17" t="str">
        <x:v>TCO Summary</x:v>
      </x:c>
      <x:c r="E7" s="17" t="str">
        <x:v>Scenario ordering</x:v>
      </x:c>
    </x:row>
    <x:row r="8">
      <x:c r="A8" s="17" t="str">
        <x:v>Contingency rate equals approved 15%</x:v>
      </x:c>
      <x:c r="B8" s="17" t="str">
        <x:f>IF(Assumptions!B15=0.15,"PASS","FAIL")</x:f>
        <x:v>PASS</x:v>
      </x:c>
      <x:c r="C8" s="17"/>
      <x:c r="D8" s="17" t="str">
        <x:v>Assumptions</x:v>
      </x:c>
      <x:c r="E8" s="17" t="str">
        <x:v>Approved decision</x:v>
      </x:c>
    </x:row>
    <x:row r="9">
      <x:c r="A9" s="17" t="str">
        <x:v>Planning horizon equals 3 years</x:v>
      </x:c>
      <x:c r="B9" s="17" t="str">
        <x:f>IF(Assumptions!B18=3,"PASS","FAIL")</x:f>
        <x:v>PASS</x:v>
      </x:c>
      <x:c r="C9" s="17"/>
      <x:c r="D9" s="17" t="str">
        <x:v>Assumptions</x:v>
      </x:c>
      <x:c r="E9" s="17" t="str">
        <x:v>Approved decision</x:v>
      </x:c>
    </x:row>
    <x:row r="11">
      <x:c r="A11" s="54" t="str">
        <x:v>MODEL STATUS</x:v>
      </x:c>
      <x:c r="B11" s="54" t="str">
        <x:f>IF(COUNTIF(B5:B9,"FAIL")=0,"PASS","FAIL")</x:f>
        <x:v>PASS</x:v>
      </x:c>
      <x:c r="C11" s="54"/>
      <x:c r="D11" s="54"/>
      <x:c r="E11" s="54"/>
    </x:row>
  </x:sheetData>
  <x:mergeCells>
    <x:mergeCell ref="A1:E1"/>
    <x:mergeCell ref="A2:E2"/>
    <x:mergeCell ref="B11:E11"/>
  </x:mergeCells>
  <x:pageMargins left="0.7" right="0.7" top="0.75" bottom="0.75" header="0.3" footer="0.3"/>
</x:worksheet>
</file>