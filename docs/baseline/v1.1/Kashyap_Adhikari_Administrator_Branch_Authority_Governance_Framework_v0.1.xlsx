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0c25d614d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9d9d4539ac54ebf"/>
    <x:sheet xmlns:r="http://schemas.openxmlformats.org/officeDocument/2006/relationships" name="Role Catalogue" sheetId="2" r:id="R352a5a8fb1ef4d16"/>
    <x:sheet xmlns:r="http://schemas.openxmlformats.org/officeDocument/2006/relationships" name="Appointment Register" sheetId="3" r:id="Rb604be26f5e24629"/>
    <x:sheet xmlns:r="http://schemas.openxmlformats.org/officeDocument/2006/relationships" name="Branch Authority Register" sheetId="4" r:id="R1857ae116aff46ad"/>
    <x:sheet xmlns:r="http://schemas.openxmlformats.org/officeDocument/2006/relationships" name="Authority Matrix" sheetId="5" r:id="R48c3645544d3480d"/>
    <x:sheet xmlns:r="http://schemas.openxmlformats.org/officeDocument/2006/relationships" name="SDLC RACI" sheetId="6" r:id="Rc44683a022a64992"/>
    <x:sheet xmlns:r="http://schemas.openxmlformats.org/officeDocument/2006/relationships" name="Separation of Duties" sheetId="7" r:id="Rf7375a51aa4c4b0e"/>
    <x:sheet xmlns:r="http://schemas.openxmlformats.org/officeDocument/2006/relationships" name="Escalation Matrix" sheetId="8" r:id="Rfaccf6faa1364b3d"/>
    <x:sheet xmlns:r="http://schemas.openxmlformats.org/officeDocument/2006/relationships" name="Delegations &amp; Access" sheetId="9" r:id="R4c7f437e625e4d7f"/>
    <x:sheet xmlns:r="http://schemas.openxmlformats.org/officeDocument/2006/relationships" name="Governance Dashboard" sheetId="10" r:id="Rb6d5d5917f9e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4444"/>
      <x:name val="Carlito"/>
    </x:font>
    <x:font>
      <x:b/>
      <x:sz val="11"/>
      <x:color rgb="FFFFFFFF"/>
      <x:name val="Carlito"/>
    </x:font>
    <x:font>
      <x:b/>
      <x:sz val="13"/>
      <x:name val="Carlito"/>
    </x:font>
    <x:font>
      <x:b/>
      <x:sz val="13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6D73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horizontal="center" vertical="top" wrapText="1"/>
    </x:xf>
    <x:xf numFmtId="200" fontId="4" fillId="5" borderId="3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62066215d47ed" /><Relationship Type="http://schemas.openxmlformats.org/officeDocument/2006/relationships/theme" Target="/xl/theme/theme1.xml" Id="Rc323d8f618f5421b" /><Relationship Type="http://schemas.openxmlformats.org/officeDocument/2006/relationships/sharedStrings" Target="/xl/sharedStrings.xml" Id="R8da7208482764368" /><Relationship Type="http://schemas.openxmlformats.org/officeDocument/2006/relationships/worksheet" Target="/xl/worksheets/sheet1.xml" Id="R89d9d4539ac54ebf" /><Relationship Type="http://schemas.openxmlformats.org/officeDocument/2006/relationships/worksheet" Target="/xl/worksheets/sheet2.xml" Id="R352a5a8fb1ef4d16" /><Relationship Type="http://schemas.openxmlformats.org/officeDocument/2006/relationships/worksheet" Target="/xl/worksheets/sheet3.xml" Id="Rb604be26f5e24629" /><Relationship Type="http://schemas.openxmlformats.org/officeDocument/2006/relationships/worksheet" Target="/xl/worksheets/sheet4.xml" Id="R1857ae116aff46ad" /><Relationship Type="http://schemas.openxmlformats.org/officeDocument/2006/relationships/worksheet" Target="/xl/worksheets/sheet5.xml" Id="R48c3645544d3480d" /><Relationship Type="http://schemas.openxmlformats.org/officeDocument/2006/relationships/worksheet" Target="/xl/worksheets/sheet6.xml" Id="Rc44683a022a64992" /><Relationship Type="http://schemas.openxmlformats.org/officeDocument/2006/relationships/worksheet" Target="/xl/worksheets/sheet7.xml" Id="Rf7375a51aa4c4b0e" /><Relationship Type="http://schemas.openxmlformats.org/officeDocument/2006/relationships/worksheet" Target="/xl/worksheets/sheet8.xml" Id="Rfaccf6faa1364b3d" /><Relationship Type="http://schemas.openxmlformats.org/officeDocument/2006/relationships/worksheet" Target="/xl/worksheets/sheet9.xml" Id="R4c7f437e625e4d7f" /><Relationship Type="http://schemas.openxmlformats.org/officeDocument/2006/relationships/worksheet" Target="/xl/worksheets/sheet10.xml" Id="Rb6d5d5917f9e43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98" hidden="0" customWidth="1"/>
  </x:cols>
  <x:sheetData>
    <x:row r="1" ht="32" customHeight="1">
      <x:c r="A1" s="2" t="str">
        <x:v>Administrator &amp; Branch Authority Governance Framework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Kashyap Gotra Adhikari Genealogy &amp; Community Platform | SDLC governance baseline v0.1 | Named appointments pending</x:v>
      </x:c>
      <x:c r="B2" s="5"/>
      <x:c r="C2" s="5"/>
      <x:c r="D2" s="5"/>
      <x:c r="E2" s="5"/>
      <x:c r="F2" s="5"/>
      <x:c r="G2" s="5"/>
      <x:c r="H2" s="5"/>
    </x:row>
    <x:row r="4">
      <x:c r="A4" s="11" t="str">
        <x:v>Control</x:v>
      </x:c>
      <x:c r="B4" s="11" t="str">
        <x:v>Rule</x:v>
      </x:c>
      <x:c r="C4" s="11" t="str">
        <x:v>Implementation requirement</x:v>
      </x:c>
    </x:row>
    <x:row r="5">
      <x:c r="A5" s="16" t="str">
        <x:v>Current status</x:v>
      </x:c>
      <x:c r="B5" s="16" t="str">
        <x:v>ROLE STRUCTURE APPROVED FOR PLANNING; NAMES PENDING</x:v>
      </x:c>
      <x:c r="C5" s="16" t="str">
        <x:v>System design and access-control development may use provisional Role IDs. Production authority cannot activate until named appointments are approved.</x:v>
      </x:c>
    </x:row>
    <x:row r="6">
      <x:c r="A6" s="17" t="str">
        <x:v>Operating principle</x:v>
      </x:c>
      <x:c r="B6" s="17" t="str">
        <x:v>Least privilege</x:v>
      </x:c>
      <x:c r="C6" s="17" t="str">
        <x:v>Every account receives only the minimum permissions necessary for its assigned duties and geographic/branch scope.</x:v>
      </x:c>
    </x:row>
    <x:row r="7">
      <x:c r="A7" s="17" t="str">
        <x:v>Separation of duties</x:v>
      </x:c>
      <x:c r="B7" s="17" t="str">
        <x:v>Mandatory</x:v>
      </x:c>
      <x:c r="C7" s="17" t="str">
        <x:v>Proposer, cultural reviewer and final approver must be different where specified. System administrators cannot alter audit evidence.</x:v>
      </x:c>
    </x:row>
    <x:row r="8">
      <x:c r="A8" s="17" t="str">
        <x:v>Branch autonomy</x:v>
      </x:c>
      <x:c r="B8" s="17" t="str">
        <x:v>Scoped</x:v>
      </x:c>
      <x:c r="C8" s="17" t="str">
        <x:v>Branch authorities act only within assigned branches unless formally delegated by the central authority.</x:v>
      </x:c>
    </x:row>
    <x:row r="9">
      <x:c r="A9" s="17" t="str">
        <x:v>Recusal</x:v>
      </x:c>
      <x:c r="B9" s="17" t="str">
        <x:v>Mandatory</x:v>
      </x:c>
      <x:c r="C9" s="17" t="str">
        <x:v>A reviewer must recuse when a decision concerns their own record, household, direct family, financial interest or active dispute.</x:v>
      </x:c>
    </x:row>
    <x:row r="10">
      <x:c r="A10" s="17" t="str">
        <x:v>Delegation</x:v>
      </x:c>
      <x:c r="B10" s="17" t="str">
        <x:v>Time-bound and explicit</x:v>
      </x:c>
      <x:c r="C10" s="17" t="str">
        <x:v>Delegations require start/end dates, written scope, delegator, delegate, reason and audit record. Privileges expire automatically.</x:v>
      </x:c>
    </x:row>
    <x:row r="11">
      <x:c r="A11" s="17" t="str">
        <x:v>Emergency access</x:v>
      </x:c>
      <x:c r="B11" s="17" t="str">
        <x:v>Break-glass only</x:v>
      </x:c>
      <x:c r="C11" s="17" t="str">
        <x:v>Emergency elevation requires incident ID, justification, monitoring, automatic expiry and independent post-event review.</x:v>
      </x:c>
    </x:row>
    <x:row r="12">
      <x:c r="A12" s="17" t="str">
        <x:v>Shared accounts</x:v>
      </x:c>
      <x:c r="B12" s="17" t="str">
        <x:v>Prohibited</x:v>
      </x:c>
      <x:c r="C12" s="17" t="str">
        <x:v>Every privileged action must be attributable to one verified individual using MFA.</x:v>
      </x:c>
    </x:row>
    <x:row r="13">
      <x:c r="A13" s="17" t="str">
        <x:v>Vacancy handling</x:v>
      </x:c>
      <x:c r="B13" s="17" t="str">
        <x:v>No silent substitution</x:v>
      </x:c>
      <x:c r="C13" s="17" t="str">
        <x:v>An acting appointee must be formally recorded. High-risk approvals pause if the required independent authority is vacant.</x:v>
      </x:c>
    </x:row>
    <x:row r="14">
      <x:c r="A14" s="17" t="str">
        <x:v>Appointment evidence</x:v>
      </x:c>
      <x:c r="B14" s="17" t="str">
        <x:v>Required</x:v>
      </x:c>
      <x:c r="C14" s="17" t="str">
        <x:v>Each appointment requires identity verification, conflict declaration, confidentiality commitment, training completion and approving resolution.</x:v>
      </x:c>
    </x:row>
    <x:row r="15">
      <x:c r="A15" s="17" t="str">
        <x:v>Review cycle</x:v>
      </x:c>
      <x:c r="B15" s="17" t="str">
        <x:v>At least annually</x:v>
      </x:c>
      <x:c r="C15" s="17" t="str">
        <x:v>Appointments and permissions are reviewed annually and immediately upon resignation, removal, inactivity, dispute or security incident.</x:v>
      </x:c>
    </x:row>
    <x:row r="16">
      <x:c r="A16" s="17" t="str">
        <x:v>Production gate</x:v>
      </x:c>
      <x:c r="B16" s="17" t="str">
        <x:v>Named roles required</x:v>
      </x:c>
      <x:c r="C16" s="17" t="str">
        <x:v>The mandatory roles identified in the Role Catalogue must be filled and tested before production launch.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19" hidden="0" customWidth="1"/>
    <x:col min="5" max="5" width="48" hidden="0" customWidth="1"/>
    <x:col min="6" max="6" width="44" hidden="0" customWidth="1"/>
    <x:col min="7" max="7" width="25" hidden="0" customWidth="1"/>
    <x:col min="8" max="8" width="18" hidden="0" customWidth="1"/>
    <x:col min="9" max="9" width="30" hidden="0" customWidth="1"/>
    <x:col min="10" max="10" width="42" hidden="0" customWidth="1"/>
    <x:col min="11" max="11" width="18" hidden="0" customWidth="1"/>
    <x:col min="12" max="12" width="24" hidden="0" customWidth="1"/>
    <x:col min="13" max="13" width="18" hidden="0" customWidth="1"/>
    <x:col min="14" max="14" width="18" hidden="0" customWidth="1"/>
  </x:cols>
  <x:sheetData>
    <x:row r="1" ht="32" customHeight="1">
      <x:c r="A1" s="2" t="str">
        <x:v>Governance Role Catalogue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5" t="str">
        <x:v>Role IDs are stable technical identifiers; holder names are added separately in the Appointment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1" t="str">
        <x:v>Role ID</x:v>
      </x:c>
      <x:c r="B4" s="11" t="str">
        <x:v>Role Name</x:v>
      </x:c>
      <x:c r="C4" s="11" t="str">
        <x:v>Domain</x:v>
      </x:c>
      <x:c r="D4" s="11" t="str">
        <x:v>Minimum Staffing</x:v>
      </x:c>
      <x:c r="E4" s="11" t="str">
        <x:v>Core Authority</x:v>
      </x:c>
      <x:c r="F4" s="11" t="str">
        <x:v>Explicit Prohibitions</x:v>
      </x:c>
      <x:c r="G4" s="11" t="str">
        <x:v>Default Scope</x:v>
      </x:c>
      <x:c r="H4" s="11" t="str">
        <x:v>Mandatory at Launch?</x:v>
      </x:c>
      <x:c r="I4" s="11" t="str">
        <x:v>Appointing Authority</x:v>
      </x:c>
      <x:c r="J4" s="11" t="str">
        <x:v>Minimum Criteria</x:v>
      </x:c>
      <x:c r="K4" s="11" t="str">
        <x:v>Training Refresh</x:v>
      </x:c>
      <x:c r="L4" s="11" t="str">
        <x:v>Authentication</x:v>
      </x:c>
      <x:c r="M4" s="11" t="str">
        <x:v>Audit Retention</x:v>
      </x:c>
      <x:c r="N4" s="11" t="str">
        <x:v>Status</x:v>
      </x:c>
    </x:row>
    <x:row r="5">
      <x:c r="A5" s="16" t="str">
        <x:v>ROLE-001</x:v>
      </x:c>
      <x:c r="B5" s="16" t="str">
        <x:v>Governing Board</x:v>
      </x:c>
      <x:c r="C5" s="16" t="str">
        <x:v>Central governance</x:v>
      </x:c>
      <x:c r="D5" s="16" t="str">
        <x:v>Collective</x:v>
      </x:c>
      <x:c r="E5" s="16" t="str">
        <x:v>Final institutional governance, charter, budget, senior appointments and unresolved appeals</x:v>
      </x:c>
      <x:c r="F5" s="16" t="str">
        <x:v>Cannot execute routine administration or self-approve conflicts</x:v>
      </x:c>
      <x:c r="G5" s="16" t="str">
        <x:v>Organization-wide</x:v>
      </x:c>
      <x:c r="H5" s="16" t="str">
        <x:v>Yes</x:v>
      </x:c>
      <x:c r="I5" s="16" t="str">
        <x:v>Board resolution</x:v>
      </x:c>
      <x:c r="J5" s="16" t="str">
        <x:v>Governance, fiduciary duty, community legitimacy</x:v>
      </x:c>
      <x:c r="K5" s="16" t="str">
        <x:v>Annual</x:v>
      </x:c>
      <x:c r="L5" s="16" t="str">
        <x:v>MFA + hardware key preferred</x:v>
      </x:c>
      <x:c r="M5" s="16" t="str">
        <x:v>5 years</x:v>
      </x:c>
      <x:c r="N5" s="16" t="str">
        <x:v>Active design</x:v>
      </x:c>
    </x:row>
    <x:row r="6">
      <x:c r="A6" s="17" t="str">
        <x:v>ROLE-002</x:v>
      </x:c>
      <x:c r="B6" s="17" t="str">
        <x:v>Project Sponsor / Executive Owner</x:v>
      </x:c>
      <x:c r="C6" s="17" t="str">
        <x:v>Executive</x:v>
      </x:c>
      <x:c r="D6" s="17" t="str">
        <x:v>1 primary + deputy</x:v>
      </x:c>
      <x:c r="E6" s="17" t="str">
        <x:v>Owns outcomes, funding and executive escalation</x:v>
      </x:c>
      <x:c r="F6" s="17" t="str">
        <x:v>Cannot approve own expenditure or override audit findings</x:v>
      </x:c>
      <x:c r="G6" s="17" t="str">
        <x:v>Organization-wide</x:v>
      </x:c>
      <x:c r="H6" s="17" t="str">
        <x:v>Yes</x:v>
      </x:c>
      <x:c r="I6" s="17" t="str">
        <x:v>Governing Board</x:v>
      </x:c>
      <x:c r="J6" s="17" t="str">
        <x:v>Executive authority, accountability, availability</x:v>
      </x:c>
      <x:c r="K6" s="17" t="str">
        <x:v>Annual</x:v>
      </x:c>
      <x:c r="L6" s="17" t="str">
        <x:v>MFA</x:v>
      </x:c>
      <x:c r="M6" s="17" t="str">
        <x:v>7 years</x:v>
      </x:c>
      <x:c r="N6" s="17" t="str">
        <x:v>Active design</x:v>
      </x:c>
    </x:row>
    <x:row r="7">
      <x:c r="A7" s="17" t="str">
        <x:v>ROLE-003</x:v>
      </x:c>
      <x:c r="B7" s="17" t="str">
        <x:v>Product Owner</x:v>
      </x:c>
      <x:c r="C7" s="17" t="str">
        <x:v>Product</x:v>
      </x:c>
      <x:c r="D7" s="17" t="str">
        <x:v>1 primary + deputy</x:v>
      </x:c>
      <x:c r="E7" s="17" t="str">
        <x:v>Prioritizes Release 1.0 backlog and accepts business functionality</x:v>
      </x:c>
      <x:c r="F7" s="17" t="str">
        <x:v>Cannot final-approve cultural/legal/security exceptions</x:v>
      </x:c>
      <x:c r="G7" s="17" t="str">
        <x:v>Product scope</x:v>
      </x:c>
      <x:c r="H7" s="17" t="str">
        <x:v>Yes</x:v>
      </x:c>
      <x:c r="I7" s="17" t="str">
        <x:v>Project Sponsor</x:v>
      </x:c>
      <x:c r="J7" s="17" t="str">
        <x:v>Requirements leadership, community understanding</x:v>
      </x:c>
      <x:c r="K7" s="17" t="str">
        <x:v>6 months</x:v>
      </x:c>
      <x:c r="L7" s="17" t="str">
        <x:v>MFA</x:v>
      </x:c>
      <x:c r="M7" s="17" t="str">
        <x:v>3 years</x:v>
      </x:c>
      <x:c r="N7" s="17" t="str">
        <x:v>Active design</x:v>
      </x:c>
    </x:row>
    <x:row r="8">
      <x:c r="A8" s="17" t="str">
        <x:v>ROLE-004</x:v>
      </x:c>
      <x:c r="B8" s="17" t="str">
        <x:v>Program / Project Manager</x:v>
      </x:c>
      <x:c r="C8" s="17" t="str">
        <x:v>Delivery</x:v>
      </x:c>
      <x:c r="D8" s="17" t="str">
        <x:v>1 primary</x:v>
      </x:c>
      <x:c r="E8" s="17" t="str">
        <x:v>Plans SDLC, risks, dependencies, reporting and change control</x:v>
      </x:c>
      <x:c r="F8" s="17" t="str">
        <x:v>Cannot independently accept release or security risk</x:v>
      </x:c>
      <x:c r="G8" s="17" t="str">
        <x:v>Project scope</x:v>
      </x:c>
      <x:c r="H8" s="17" t="str">
        <x:v>Yes</x:v>
      </x:c>
      <x:c r="I8" s="17" t="str">
        <x:v>Project Sponsor</x:v>
      </x:c>
      <x:c r="J8" s="17" t="str">
        <x:v>SDLC delivery and governance experience</x:v>
      </x:c>
      <x:c r="K8" s="17" t="str">
        <x:v>6 months</x:v>
      </x:c>
      <x:c r="L8" s="17" t="str">
        <x:v>MFA</x:v>
      </x:c>
      <x:c r="M8" s="17" t="str">
        <x:v>3 years</x:v>
      </x:c>
      <x:c r="N8" s="17" t="str">
        <x:v>Active design</x:v>
      </x:c>
    </x:row>
    <x:row r="9">
      <x:c r="A9" s="17" t="str">
        <x:v>ROLE-005</x:v>
      </x:c>
      <x:c r="B9" s="17" t="str">
        <x:v>Senior Community / Religious Authority</x:v>
      </x:c>
      <x:c r="C9" s="17" t="str">
        <x:v>Cultural governance</x:v>
      </x:c>
      <x:c r="D9" s="17" t="str">
        <x:v>Minimum 2</x:v>
      </x:c>
      <x:c r="E9" s="17" t="str">
        <x:v>Final-approves cultural terminology, ritual rules and contested interpretations</x:v>
      </x:c>
      <x:c r="F9" s="17" t="str">
        <x:v>Cannot final-approve a rule personally proposed or reviewed</x:v>
      </x:c>
      <x:c r="G9" s="17" t="str">
        <x:v>Organization/assigned domain</x:v>
      </x:c>
      <x:c r="H9" s="17" t="str">
        <x:v>Yes</x:v>
      </x:c>
      <x:c r="I9" s="17" t="str">
        <x:v>Governing Board</x:v>
      </x:c>
      <x:c r="J9" s="17" t="str">
        <x:v>Recognized legitimacy and documented expertise</x:v>
      </x:c>
      <x:c r="K9" s="17" t="str">
        <x:v>Annual</x:v>
      </x:c>
      <x:c r="L9" s="17" t="str">
        <x:v>MFA</x:v>
      </x:c>
      <x:c r="M9" s="17" t="str">
        <x:v>Permanent</x:v>
      </x:c>
      <x:c r="N9" s="17" t="str">
        <x:v>Active design</x:v>
      </x:c>
    </x:row>
    <x:row r="10">
      <x:c r="A10" s="17" t="str">
        <x:v>ROLE-006</x:v>
      </x:c>
      <x:c r="B10" s="17" t="str">
        <x:v>Cultural Reviewer</x:v>
      </x:c>
      <x:c r="C10" s="17" t="str">
        <x:v>Cultural governance</x:v>
      </x:c>
      <x:c r="D10" s="17" t="str">
        <x:v>Minimum 2</x:v>
      </x:c>
      <x:c r="E10" s="17" t="str">
        <x:v>Validates Nata/Saino, Jutho, Tithi/Shraddha and cultural content</x:v>
      </x:c>
      <x:c r="F10" s="17" t="str">
        <x:v>Cannot final-approve own review</x:v>
      </x:c>
      <x:c r="G10" s="17" t="str">
        <x:v>Assigned cultural domain</x:v>
      </x:c>
      <x:c r="H10" s="17" t="str">
        <x:v>Yes</x:v>
      </x:c>
      <x:c r="I10" s="17" t="str">
        <x:v>Senior Community Authority</x:v>
      </x:c>
      <x:c r="J10" s="17" t="str">
        <x:v>Subject expertise, evidence evaluation</x:v>
      </x:c>
      <x:c r="K10" s="17" t="str">
        <x:v>Annual</x:v>
      </x:c>
      <x:c r="L10" s="17" t="str">
        <x:v>MFA</x:v>
      </x:c>
      <x:c r="M10" s="17" t="str">
        <x:v>Permanent</x:v>
      </x:c>
      <x:c r="N10" s="17" t="str">
        <x:v>Active design</x:v>
      </x:c>
    </x:row>
    <x:row r="11">
      <x:c r="A11" s="17" t="str">
        <x:v>ROLE-007</x:v>
      </x:c>
      <x:c r="B11" s="17" t="str">
        <x:v>Central Genealogy Authority</x:v>
      </x:c>
      <x:c r="C11" s="17" t="str">
        <x:v>Data governance</x:v>
      </x:c>
      <x:c r="D11" s="17" t="str">
        <x:v>Minimum 2</x:v>
      </x:c>
      <x:c r="E11" s="17" t="str">
        <x:v>Approves cross-branch merges, complex lineage and escalated genealogy disputes</x:v>
      </x:c>
      <x:c r="F11" s="17" t="str">
        <x:v>Cannot change source evidence or approve own family case</x:v>
      </x:c>
      <x:c r="G11" s="17" t="str">
        <x:v>Organization-wide</x:v>
      </x:c>
      <x:c r="H11" s="17" t="str">
        <x:v>Yes</x:v>
      </x:c>
      <x:c r="I11" s="17" t="str">
        <x:v>Governing Board</x:v>
      </x:c>
      <x:c r="J11" s="17" t="str">
        <x:v>Genealogy methods, neutrality, provenance</x:v>
      </x:c>
      <x:c r="K11" s="17" t="str">
        <x:v>Annual</x:v>
      </x:c>
      <x:c r="L11" s="17" t="str">
        <x:v>MFA</x:v>
      </x:c>
      <x:c r="M11" s="17" t="str">
        <x:v>Permanent</x:v>
      </x:c>
      <x:c r="N11" s="17" t="str">
        <x:v>Active design</x:v>
      </x:c>
    </x:row>
    <x:row r="12">
      <x:c r="A12" s="17" t="str">
        <x:v>ROLE-008</x:v>
      </x:c>
      <x:c r="B12" s="17" t="str">
        <x:v>Branch Authority</x:v>
      </x:c>
      <x:c r="C12" s="17" t="str">
        <x:v>Branch governance</x:v>
      </x:c>
      <x:c r="D12" s="17" t="str">
        <x:v>1 primary + 1 deputy per branch</x:v>
      </x:c>
      <x:c r="E12" s="17" t="str">
        <x:v>Approves branch membership, local records and branch verifiers</x:v>
      </x:c>
      <x:c r="F12" s="17" t="str">
        <x:v>Limited to assigned branch; must recuse on own/direct-family cases</x:v>
      </x:c>
      <x:c r="G12" s="17" t="str">
        <x:v>Assigned branch</x:v>
      </x:c>
      <x:c r="H12" s="17" t="str">
        <x:v>Yes</x:v>
      </x:c>
      <x:c r="I12" s="17" t="str">
        <x:v>Central Genealogy Authority / Board</x:v>
      </x:c>
      <x:c r="J12" s="17" t="str">
        <x:v>Branch recognition, integrity, digital competency</x:v>
      </x:c>
      <x:c r="K12" s="17" t="str">
        <x:v>Annual</x:v>
      </x:c>
      <x:c r="L12" s="17" t="str">
        <x:v>MFA</x:v>
      </x:c>
      <x:c r="M12" s="17" t="str">
        <x:v>3 years</x:v>
      </x:c>
      <x:c r="N12" s="17" t="str">
        <x:v>Active design</x:v>
      </x:c>
    </x:row>
    <x:row r="13">
      <x:c r="A13" s="17" t="str">
        <x:v>ROLE-009</x:v>
      </x:c>
      <x:c r="B13" s="17" t="str">
        <x:v>Genealogy Verifier</x:v>
      </x:c>
      <x:c r="C13" s="17" t="str">
        <x:v>Data operations</x:v>
      </x:c>
      <x:c r="D13" s="17" t="str">
        <x:v>At least 2 per branch</x:v>
      </x:c>
      <x:c r="E13" s="17" t="str">
        <x:v>Checks identity, sources, duplicates and relationship proposals</x:v>
      </x:c>
      <x:c r="F13" s="17" t="str">
        <x:v>Cannot approve own entries or final-resolve disputes</x:v>
      </x:c>
      <x:c r="G13" s="17" t="str">
        <x:v>Assigned branch</x:v>
      </x:c>
      <x:c r="H13" s="17" t="str">
        <x:v>Yes</x:v>
      </x:c>
      <x:c r="I13" s="17" t="str">
        <x:v>Branch Authority</x:v>
      </x:c>
      <x:c r="J13" s="17" t="str">
        <x:v>Data verification and privacy training</x:v>
      </x:c>
      <x:c r="K13" s="17" t="str">
        <x:v>6 months</x:v>
      </x:c>
      <x:c r="L13" s="17" t="str">
        <x:v>MFA</x:v>
      </x:c>
      <x:c r="M13" s="17" t="str">
        <x:v>3 years</x:v>
      </x:c>
      <x:c r="N13" s="17" t="str">
        <x:v>Active design</x:v>
      </x:c>
    </x:row>
    <x:row r="14">
      <x:c r="A14" s="17" t="str">
        <x:v>ROLE-010</x:v>
      </x:c>
      <x:c r="B14" s="17" t="str">
        <x:v>Cultural Content Editor</x:v>
      </x:c>
      <x:c r="C14" s="17" t="str">
        <x:v>Content</x:v>
      </x:c>
      <x:c r="D14" s="17" t="str">
        <x:v>Minimum 2</x:v>
      </x:c>
      <x:c r="E14" s="17" t="str">
        <x:v>Drafts and maintains CMS content and citations</x:v>
      </x:c>
      <x:c r="F14" s="17" t="str">
        <x:v>Cannot publish cultural rules without approvals</x:v>
      </x:c>
      <x:c r="G14" s="17" t="str">
        <x:v>Assigned content domains</x:v>
      </x:c>
      <x:c r="H14" s="17" t="str">
        <x:v>No</x:v>
      </x:c>
      <x:c r="I14" s="17" t="str">
        <x:v>Product Owner</x:v>
      </x:c>
      <x:c r="J14" s="17" t="str">
        <x:v>Nepali/English writing, source handling</x:v>
      </x:c>
      <x:c r="K14" s="17" t="str">
        <x:v>6 months</x:v>
      </x:c>
      <x:c r="L14" s="17" t="str">
        <x:v>MFA</x:v>
      </x:c>
      <x:c r="M14" s="17" t="str">
        <x:v>2 years</x:v>
      </x:c>
      <x:c r="N14" s="17" t="str">
        <x:v>Active design</x:v>
      </x:c>
    </x:row>
    <x:row r="15">
      <x:c r="A15" s="17" t="str">
        <x:v>ROLE-011</x:v>
      </x:c>
      <x:c r="B15" s="17" t="str">
        <x:v>Community Moderator</x:v>
      </x:c>
      <x:c r="C15" s="17" t="str">
        <x:v>Trust &amp; safety</x:v>
      </x:c>
      <x:c r="D15" s="17" t="str">
        <x:v>Coverage-based</x:v>
      </x:c>
      <x:c r="E15" s="17" t="str">
        <x:v>Moderates posts, reports and member safety</x:v>
      </x:c>
      <x:c r="F15" s="17" t="str">
        <x:v>Cannot access private genealogy/contact data without case need</x:v>
      </x:c>
      <x:c r="G15" s="17" t="str">
        <x:v>Assigned queues/branches</x:v>
      </x:c>
      <x:c r="H15" s="17" t="str">
        <x:v>Yes</x:v>
      </x:c>
      <x:c r="I15" s="17" t="str">
        <x:v>Trust &amp; Safety Lead</x:v>
      </x:c>
      <x:c r="J15" s="17" t="str">
        <x:v>Moderation, safeguarding, impartiality</x:v>
      </x:c>
      <x:c r="K15" s="17" t="str">
        <x:v>Before access</x:v>
      </x:c>
      <x:c r="L15" s="17" t="str">
        <x:v>MFA</x:v>
      </x:c>
      <x:c r="M15" s="17" t="str">
        <x:v>2 years</x:v>
      </x:c>
      <x:c r="N15" s="17" t="str">
        <x:v>Active design</x:v>
      </x:c>
    </x:row>
    <x:row r="16">
      <x:c r="A16" s="17" t="str">
        <x:v>ROLE-012</x:v>
      </x:c>
      <x:c r="B16" s="17" t="str">
        <x:v>Privacy / Data Protection Officer</x:v>
      </x:c>
      <x:c r="C16" s="17" t="str">
        <x:v>Privacy</x:v>
      </x:c>
      <x:c r="D16" s="17" t="str">
        <x:v>1 primary + deputy</x:v>
      </x:c>
      <x:c r="E16" s="17" t="str">
        <x:v>Owns privacy policy, rights requests, DPIA, retention and sensitive-access oversight</x:v>
      </x:c>
      <x:c r="F16" s="17" t="str">
        <x:v>Cannot operate systems they independently audit</x:v>
      </x:c>
      <x:c r="G16" s="17" t="str">
        <x:v>Organization-wide</x:v>
      </x:c>
      <x:c r="H16" s="17" t="str">
        <x:v>Yes</x:v>
      </x:c>
      <x:c r="I16" s="17" t="str">
        <x:v>Governing Board</x:v>
      </x:c>
      <x:c r="J16" s="17" t="str">
        <x:v>Nepal privacy/legal knowledge, independence</x:v>
      </x:c>
      <x:c r="K16" s="17" t="str">
        <x:v>Annual</x:v>
      </x:c>
      <x:c r="L16" s="17" t="str">
        <x:v>MFA + hardware key preferred</x:v>
      </x:c>
      <x:c r="M16" s="17" t="str">
        <x:v>7 years</x:v>
      </x:c>
      <x:c r="N16" s="17" t="str">
        <x:v>Active design</x:v>
      </x:c>
    </x:row>
    <x:row r="17">
      <x:c r="A17" s="17" t="str">
        <x:v>ROLE-013</x:v>
      </x:c>
      <x:c r="B17" s="17" t="str">
        <x:v>Security Administrator</x:v>
      </x:c>
      <x:c r="C17" s="17" t="str">
        <x:v>Security</x:v>
      </x:c>
      <x:c r="D17" s="17" t="str">
        <x:v>Minimum 2</x:v>
      </x:c>
      <x:c r="E17" s="17" t="str">
        <x:v>Security configuration, keys, incident containment and privileged-access administration</x:v>
      </x:c>
      <x:c r="F17" s="17" t="str">
        <x:v>Cannot suppress logs or close own security incidents</x:v>
      </x:c>
      <x:c r="G17" s="17" t="str">
        <x:v>Production systems</x:v>
      </x:c>
      <x:c r="H17" s="17" t="str">
        <x:v>Yes</x:v>
      </x:c>
      <x:c r="I17" s="17" t="str">
        <x:v>Technology Lead + DPO oversight</x:v>
      </x:c>
      <x:c r="J17" s="17" t="str">
        <x:v>Security engineering, incident response</x:v>
      </x:c>
      <x:c r="K17" s="17" t="str">
        <x:v>Quarterly</x:v>
      </x:c>
      <x:c r="L17" s="17" t="str">
        <x:v>Hardware-backed MFA</x:v>
      </x:c>
      <x:c r="M17" s="17" t="str">
        <x:v>7 years</x:v>
      </x:c>
      <x:c r="N17" s="17" t="str">
        <x:v>Active design</x:v>
      </x:c>
    </x:row>
    <x:row r="18">
      <x:c r="A18" s="17" t="str">
        <x:v>ROLE-014</x:v>
      </x:c>
      <x:c r="B18" s="17" t="str">
        <x:v>System Administrator</x:v>
      </x:c>
      <x:c r="C18" s="17" t="str">
        <x:v>Technology operations</x:v>
      </x:c>
      <x:c r="D18" s="17" t="str">
        <x:v>Minimum 2</x:v>
      </x:c>
      <x:c r="E18" s="17" t="str">
        <x:v>Infrastructure, deployment support, backup operations and service recovery</x:v>
      </x:c>
      <x:c r="F18" s="17" t="str">
        <x:v>No cultural/data approval; no audit deletion</x:v>
      </x:c>
      <x:c r="G18" s="17" t="str">
        <x:v>Assigned environments</x:v>
      </x:c>
      <x:c r="H18" s="17" t="str">
        <x:v>Yes</x:v>
      </x:c>
      <x:c r="I18" s="17" t="str">
        <x:v>Technology Lead</x:v>
      </x:c>
      <x:c r="J18" s="17" t="str">
        <x:v>Cloud/mobile operations and recovery</x:v>
      </x:c>
      <x:c r="K18" s="17" t="str">
        <x:v>Quarterly</x:v>
      </x:c>
      <x:c r="L18" s="17" t="str">
        <x:v>MFA</x:v>
      </x:c>
      <x:c r="M18" s="17" t="str">
        <x:v>3 years</x:v>
      </x:c>
      <x:c r="N18" s="17" t="str">
        <x:v>Active design</x:v>
      </x:c>
    </x:row>
    <x:row r="19">
      <x:c r="A19" s="17" t="str">
        <x:v>ROLE-015</x:v>
      </x:c>
      <x:c r="B19" s="17" t="str">
        <x:v>Independent Auditor</x:v>
      </x:c>
      <x:c r="C19" s="17" t="str">
        <x:v>Assurance</x:v>
      </x:c>
      <x:c r="D19" s="17" t="str">
        <x:v>1 internal/external</x:v>
      </x:c>
      <x:c r="E19" s="17" t="str">
        <x:v>Reviews access, approvals, finance, logs and compliance</x:v>
      </x:c>
      <x:c r="F19" s="17" t="str">
        <x:v>Read-only; cannot administer audited systems</x:v>
      </x:c>
      <x:c r="G19" s="17" t="str">
        <x:v>Organization-wide read-only</x:v>
      </x:c>
      <x:c r="H19" s="17" t="str">
        <x:v>Yes</x:v>
      </x:c>
      <x:c r="I19" s="17" t="str">
        <x:v>Governing Board</x:v>
      </x:c>
      <x:c r="J19" s="17" t="str">
        <x:v>Audit independence and evidence skills</x:v>
      </x:c>
      <x:c r="K19" s="17" t="str">
        <x:v>Annual</x:v>
      </x:c>
      <x:c r="L19" s="17" t="str">
        <x:v>MFA</x:v>
      </x:c>
      <x:c r="M19" s="17" t="str">
        <x:v>7 years</x:v>
      </x:c>
      <x:c r="N19" s="17" t="str">
        <x:v>Active design</x:v>
      </x:c>
    </x:row>
    <x:row r="20">
      <x:c r="A20" s="17" t="str">
        <x:v>ROLE-016</x:v>
      </x:c>
      <x:c r="B20" s="17" t="str">
        <x:v>Release Manager</x:v>
      </x:c>
      <x:c r="C20" s="17" t="str">
        <x:v>Engineering governance</x:v>
      </x:c>
      <x:c r="D20" s="17" t="str">
        <x:v>1 primary + deputy</x:v>
      </x:c>
      <x:c r="E20" s="17" t="str">
        <x:v>Coordinates release evidence and executes approved production release</x:v>
      </x:c>
      <x:c r="F20" s="17" t="str">
        <x:v>Cannot approve own code, UAT or security exceptions</x:v>
      </x:c>
      <x:c r="G20" s="17" t="str">
        <x:v>Release scope</x:v>
      </x:c>
      <x:c r="H20" s="17" t="str">
        <x:v>Yes</x:v>
      </x:c>
      <x:c r="I20" s="17" t="str">
        <x:v>Technology Lead</x:v>
      </x:c>
      <x:c r="J20" s="17" t="str">
        <x:v>Release engineering and rollback</x:v>
      </x:c>
      <x:c r="K20" s="17" t="str">
        <x:v>Quarterly</x:v>
      </x:c>
      <x:c r="L20" s="17" t="str">
        <x:v>MFA</x:v>
      </x:c>
      <x:c r="M20" s="17" t="str">
        <x:v>3 years</x:v>
      </x:c>
      <x:c r="N20" s="17" t="str">
        <x:v>Active design</x:v>
      </x:c>
    </x:row>
    <x:row r="21">
      <x:c r="A21" s="17" t="str">
        <x:v>ROLE-017</x:v>
      </x:c>
      <x:c r="B21" s="17" t="str">
        <x:v>Finance / Procurement Officer</x:v>
      </x:c>
      <x:c r="C21" s="17" t="str">
        <x:v>Finance</x:v>
      </x:c>
      <x:c r="D21" s="17" t="str">
        <x:v>Minimum 2</x:v>
      </x:c>
      <x:c r="E21" s="17" t="str">
        <x:v>Budget tracking, procurement records and payments workflow</x:v>
      </x:c>
      <x:c r="F21" s="17" t="str">
        <x:v>Requester cannot approve payment; dual authorization required</x:v>
      </x:c>
      <x:c r="G21" s="17" t="str">
        <x:v>Financial scope</x:v>
      </x:c>
      <x:c r="H21" s="17" t="str">
        <x:v>Yes</x:v>
      </x:c>
      <x:c r="I21" s="17" t="str">
        <x:v>Governing Board</x:v>
      </x:c>
      <x:c r="J21" s="17" t="str">
        <x:v>Finance controls and procurement</x:v>
      </x:c>
      <x:c r="K21" s="17" t="str">
        <x:v>Annual</x:v>
      </x:c>
      <x:c r="L21" s="17" t="str">
        <x:v>MFA</x:v>
      </x:c>
      <x:c r="M21" s="17" t="str">
        <x:v>7 years</x:v>
      </x:c>
      <x:c r="N21" s="17" t="str">
        <x:v>Active design</x:v>
      </x:c>
    </x:row>
    <x:row r="22">
      <x:c r="A22" s="17" t="str">
        <x:v>ROLE-018</x:v>
      </x:c>
      <x:c r="B22" s="17" t="str">
        <x:v>Support Agent</x:v>
      </x:c>
      <x:c r="C22" s="17" t="str">
        <x:v>Member support</x:v>
      </x:c>
      <x:c r="D22" s="17" t="str">
        <x:v>Coverage-based</x:v>
      </x:c>
      <x:c r="E22" s="17" t="str">
        <x:v>Handles member support and routes verification/privacy cases</x:v>
      </x:c>
      <x:c r="F22" s="17" t="str">
        <x:v>No bulk export; no approval; sensitive access is case-bound</x:v>
      </x:c>
      <x:c r="G22" s="17" t="str">
        <x:v>Assigned support queue</x:v>
      </x:c>
      <x:c r="H22" s="17" t="str">
        <x:v>No</x:v>
      </x:c>
      <x:c r="I22" s="17" t="str">
        <x:v>Operations Lead</x:v>
      </x:c>
      <x:c r="J22" s="17" t="str">
        <x:v>Support, privacy and safeguarding training</x:v>
      </x:c>
      <x:c r="K22" s="17" t="str">
        <x:v>6 months</x:v>
      </x:c>
      <x:c r="L22" s="17" t="str">
        <x:v>MFA</x:v>
      </x:c>
      <x:c r="M22" s="17" t="str">
        <x:v>1 year</x:v>
      </x:c>
      <x:c r="N22" s="17" t="str">
        <x:v>Active design</x:v>
      </x:c>
    </x:row>
    <x:row r="23">
      <x:c r="A23" s="17" t="str">
        <x:v>ROLE-019</x:v>
      </x:c>
      <x:c r="B23" s="17" t="str">
        <x:v>Incident Commander</x:v>
      </x:c>
      <x:c r="C23" s="17" t="str">
        <x:v>Incident response</x:v>
      </x:c>
      <x:c r="D23" s="17" t="str">
        <x:v>On-call rotation</x:v>
      </x:c>
      <x:c r="E23" s="17" t="str">
        <x:v>Coordinates severity-1/2 incidents and communications</x:v>
      </x:c>
      <x:c r="F23" s="17" t="str">
        <x:v>Temporary incident authority only; post-review mandatory</x:v>
      </x:c>
      <x:c r="G23" s="17" t="str">
        <x:v>Active incident</x:v>
      </x:c>
      <x:c r="H23" s="17" t="str">
        <x:v>Yes</x:v>
      </x:c>
      <x:c r="I23" s="17" t="str">
        <x:v>Technology Lead</x:v>
      </x:c>
      <x:c r="J23" s="17" t="str">
        <x:v>Incident command training</x:v>
      </x:c>
      <x:c r="K23" s="17" t="str">
        <x:v>Quarterly</x:v>
      </x:c>
      <x:c r="L23" s="17" t="str">
        <x:v>MFA</x:v>
      </x:c>
      <x:c r="M23" s="17" t="str">
        <x:v>3 years</x:v>
      </x:c>
      <x:c r="N23" s="17" t="str">
        <x:v>Active design</x:v>
      </x:c>
    </x:row>
    <x:row r="24">
      <x:c r="A24" s="17" t="str">
        <x:v>ROLE-020</x:v>
      </x:c>
      <x:c r="B24" s="17" t="str">
        <x:v>Legal Adviser</x:v>
      </x:c>
      <x:c r="C24" s="17" t="str">
        <x:v>Legal/compliance</x:v>
      </x:c>
      <x:c r="D24" s="17" t="str">
        <x:v>Named adviser/firm</x:v>
      </x:c>
      <x:c r="E24" s="17" t="str">
        <x:v>Reviews legal basis, terms, disputes, child data and regulatory changes</x:v>
      </x:c>
      <x:c r="F24" s="17" t="str">
        <x:v>Advisory unless formally delegated; cannot override governance</x:v>
      </x:c>
      <x:c r="G24" s="17" t="str">
        <x:v>Legal scope</x:v>
      </x:c>
      <x:c r="H24" s="17" t="str">
        <x:v>Yes</x:v>
      </x:c>
      <x:c r="I24" s="17" t="str">
        <x:v>Governing Board</x:v>
      </x:c>
      <x:c r="J24" s="17" t="str">
        <x:v>Nepal-qualified legal expertise</x:v>
      </x:c>
      <x:c r="K24" s="17" t="str">
        <x:v>Annual</x:v>
      </x:c>
      <x:c r="L24" s="17" t="str">
        <x:v>MFA for system access</x:v>
      </x:c>
      <x:c r="M24" s="17" t="str">
        <x:v>7 years</x:v>
      </x:c>
      <x:c r="N24" s="17" t="str">
        <x:v>Active design</x:v>
      </x:c>
    </x:row>
  </x:sheetData>
  <x:mergeCells>
    <x:mergeCell ref="A1:N1"/>
    <x:mergeCell ref="A2:N2"/>
  </x:mergeCells>
  <x:dataValidations count="1">
    <x:dataValidation type="list" sqref="N5:N24">
      <x:formula1>"Active design,Under review,Approved,Retired"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28" hidden="0" customWidth="1"/>
    <x:col min="5" max="5" width="24" hidden="0" customWidth="1"/>
    <x:col min="6" max="6" width="18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  <x:col min="11" max="11" width="26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0" hidden="0" customWidth="1"/>
    <x:col min="18" max="18" width="38" hidden="0" customWidth="1"/>
  </x:cols>
  <x:sheetData>
    <x:row r="1" ht="32" customHeight="1">
      <x:c r="A1" s="2" t="str">
        <x:v>Named Appointment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5" t="str">
        <x:v>Names are intentionally blank. Complete this register before production access is provisioned.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4">
      <x:c r="A4" s="11" t="str">
        <x:v>Appointment ID*</x:v>
      </x:c>
      <x:c r="B4" s="11" t="str">
        <x:v>Role ID*</x:v>
      </x:c>
      <x:c r="C4" s="11" t="str">
        <x:v>Holder Person ID*</x:v>
      </x:c>
      <x:c r="D4" s="11" t="str">
        <x:v>Holder Full Name*</x:v>
      </x:c>
      <x:c r="E4" s="11" t="str">
        <x:v>Branch ID / Scope</x:v>
      </x:c>
      <x:c r="F4" s="11" t="str">
        <x:v>Primary or Deputy*</x:v>
      </x:c>
      <x:c r="G4" s="11" t="str">
        <x:v>Start Date*</x:v>
      </x:c>
      <x:c r="H4" s="11" t="str">
        <x:v>End Date</x:v>
      </x:c>
      <x:c r="I4" s="11" t="str">
        <x:v>Status*</x:v>
      </x:c>
      <x:c r="J4" s="11" t="str">
        <x:v>Appointed By*</x:v>
      </x:c>
      <x:c r="K4" s="11" t="str">
        <x:v>Resolution / Evidence ID*</x:v>
      </x:c>
      <x:c r="L4" s="11" t="str">
        <x:v>Identity Verified?*</x:v>
      </x:c>
      <x:c r="M4" s="11" t="str">
        <x:v>Conflict Declaration?*</x:v>
      </x:c>
      <x:c r="N4" s="11" t="str">
        <x:v>Confidentiality Signed?*</x:v>
      </x:c>
      <x:c r="O4" s="11" t="str">
        <x:v>Training Complete?*</x:v>
      </x:c>
      <x:c r="P4" s="11" t="str">
        <x:v>MFA Enrolled?*</x:v>
      </x:c>
      <x:c r="Q4" s="11" t="str">
        <x:v>Last Access Review</x:v>
      </x:c>
      <x:c r="R4" s="11" t="str">
        <x:v>Notes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</x:row>
  </x:sheetData>
  <x:mergeCells>
    <x:mergeCell ref="A1:R1"/>
    <x:mergeCell ref="A2:R2"/>
  </x:mergeCells>
  <x:dataValidations count="7">
    <x:dataValidation type="list" sqref="F5:F204">
      <x:formula1>"Primary,Deputy,Acting,Temporary"</x:formula1>
    </x:dataValidation>
    <x:dataValidation type="list" sqref="I5:I204">
      <x:formula1>"Proposed,Due diligence,Approved,Active,Suspended,Expired,Revoked,Vacant"</x:formula1>
    </x:dataValidation>
    <x:dataValidation type="list" sqref="L5:L204">
      <x:formula1>"Yes,No,Pending,Not applicable"</x:formula1>
    </x:dataValidation>
    <x:dataValidation type="list" sqref="M5:M204">
      <x:formula1>"Yes,No,Pending,Not applicable"</x:formula1>
    </x:dataValidation>
    <x:dataValidation type="list" sqref="N5:N204">
      <x:formula1>"Yes,No,Pending,Not applicable"</x:formula1>
    </x:dataValidation>
    <x:dataValidation type="list" sqref="O5:O204">
      <x:formula1>"Yes,No,Pending,Not applicable"</x:formula1>
    </x:dataValidation>
    <x:dataValidation type="list" sqref="P5:P204">
      <x:formula1>"Yes,No,Pending,Not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26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  <x:col min="9" max="9" width="30" hidden="0" customWidth="1"/>
    <x:col min="10" max="10" width="24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18" hidden="0" customWidth="1"/>
    <x:col min="16" max="16" width="38" hidden="0" customWidth="1"/>
  </x:cols>
  <x:sheetData>
    <x:row r="1" ht="32" customHeight="1">
      <x:c r="A1" s="2" t="str">
        <x:v>Branch Authority Coverage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5" t="str">
        <x:v>One approved primary and one deputy should be recorded for every active branch.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>
      <x:c r="A4" s="11" t="str">
        <x:v>Branch ID*</x:v>
      </x:c>
      <x:c r="B4" s="11" t="str">
        <x:v>Branch Name*</x:v>
      </x:c>
      <x:c r="C4" s="11" t="str">
        <x:v>Parent Branch</x:v>
      </x:c>
      <x:c r="D4" s="11" t="str">
        <x:v>Primary Authority Appointment ID</x:v>
      </x:c>
      <x:c r="E4" s="11" t="str">
        <x:v>Deputy Appointment ID</x:v>
      </x:c>
      <x:c r="F4" s="11" t="str">
        <x:v>Verifier 1 Appointment ID</x:v>
      </x:c>
      <x:c r="G4" s="11" t="str">
        <x:v>Verifier 2 Appointment ID</x:v>
      </x:c>
      <x:c r="H4" s="11" t="str">
        <x:v>Member Approval Scope</x:v>
      </x:c>
      <x:c r="I4" s="11" t="str">
        <x:v>Genealogy Approval Scope</x:v>
      </x:c>
      <x:c r="J4" s="11" t="str">
        <x:v>Content Scope</x:v>
      </x:c>
      <x:c r="K4" s="11" t="str">
        <x:v>Escalation Role ID*</x:v>
      </x:c>
      <x:c r="L4" s="11" t="str">
        <x:v>Appointment Status*</x:v>
      </x:c>
      <x:c r="M4" s="11" t="str">
        <x:v>Last Review</x:v>
      </x:c>
      <x:c r="N4" s="11" t="str">
        <x:v>Next Review</x:v>
      </x:c>
      <x:c r="O4" s="11" t="str">
        <x:v>Coverage Risk</x:v>
      </x:c>
      <x:c r="P4" s="11" t="str">
        <x:v>Notes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</x:row>
  </x:sheetData>
  <x:mergeCells>
    <x:mergeCell ref="A1:P1"/>
    <x:mergeCell ref="A2:P2"/>
  </x:mergeCells>
  <x:dataValidations count="2">
    <x:dataValidation type="list" sqref="L5:L204">
      <x:formula1>"Vacant,Proposed,Partially staffed,Fully staffed,Suspended"</x:formula1>
    </x:dataValidation>
    <x:dataValidation type="list" sqref="O5:O204">
      <x:formula1>"Critical,High,Medium,Low"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30" hidden="0" customWidth="1"/>
    <x:col min="4" max="4" width="7" hidden="0" customWidth="1"/>
    <x:col min="5" max="5" width="30" hidden="0" customWidth="1"/>
    <x:col min="6" max="6" width="7" hidden="0" customWidth="1"/>
    <x:col min="7" max="7" width="38" hidden="0" customWidth="1"/>
    <x:col min="8" max="8" width="24" hidden="0" customWidth="1"/>
    <x:col min="9" max="9" width="42" hidden="0" customWidth="1"/>
    <x:col min="10" max="10" width="40" hidden="0" customWidth="1"/>
    <x:col min="11" max="11" width="20" hidden="0" customWidth="1"/>
    <x:col min="12" max="12" width="16" hidden="0" customWidth="1"/>
  </x:cols>
  <x:sheetData>
    <x:row r="1" ht="32" customHeight="1">
      <x:c r="A1" s="2" t="str">
        <x:v>Decision &amp; Permission Authority Matrix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5" t="str">
        <x:v>A = final approval; R = executes/reviews; C = consulted; I = informed; — = no authority.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1" t="str">
        <x:v>Decision ID</x:v>
      </x:c>
      <x:c r="B4" s="11" t="str">
        <x:v>Decision / Permission</x:v>
      </x:c>
      <x:c r="C4" s="11" t="str">
        <x:v>Accountable Role</x:v>
      </x:c>
      <x:c r="D4" s="11" t="str">
        <x:v>A</x:v>
      </x:c>
      <x:c r="E4" s="11" t="str">
        <x:v>Responsible Role</x:v>
      </x:c>
      <x:c r="F4" s="11" t="str">
        <x:v>R</x:v>
      </x:c>
      <x:c r="G4" s="11" t="str">
        <x:v>Consulted / Informed</x:v>
      </x:c>
      <x:c r="H4" s="11" t="str">
        <x:v>Scope</x:v>
      </x:c>
      <x:c r="I4" s="11" t="str">
        <x:v>Required Evidence</x:v>
      </x:c>
      <x:c r="J4" s="11" t="str">
        <x:v>Separation Rule</x:v>
      </x:c>
      <x:c r="K4" s="11" t="str">
        <x:v>Review Frequency</x:v>
      </x:c>
      <x:c r="L4" s="11" t="str">
        <x:v>Launch Gate</x:v>
      </x:c>
    </x:row>
    <x:row r="5">
      <x:c r="A5" s="16" t="str">
        <x:v>GOV-001</x:v>
      </x:c>
      <x:c r="B5" s="16" t="str">
        <x:v>Approve governance charter</x:v>
      </x:c>
      <x:c r="C5" s="16" t="str">
        <x:v>Governing Board</x:v>
      </x:c>
      <x:c r="D5" s="16" t="str">
        <x:v>A</x:v>
      </x:c>
      <x:c r="E5" s="16" t="str">
        <x:v>Project Sponsor</x:v>
      </x:c>
      <x:c r="F5" s="16" t="str">
        <x:v>R</x:v>
      </x:c>
      <x:c r="G5" s="16" t="str">
        <x:v>DPO; Legal Adviser</x:v>
      </x:c>
      <x:c r="H5" s="16" t="str">
        <x:v>Organization-wide</x:v>
      </x:c>
      <x:c r="I5" s="16" t="str">
        <x:v>Board resolution</x:v>
      </x:c>
      <x:c r="J5" s="16" t="str">
        <x:v>No self-conflicted vote</x:v>
      </x:c>
      <x:c r="K5" s="16" t="str">
        <x:v>Annual/when changed</x:v>
      </x:c>
      <x:c r="L5" s="16" t="str">
        <x:v>Mandatory</x:v>
      </x:c>
    </x:row>
    <x:row r="6">
      <x:c r="A6" s="17" t="str">
        <x:v>GOV-002</x:v>
      </x:c>
      <x:c r="B6" s="17" t="str">
        <x:v>Appoint senior cultural authority</x:v>
      </x:c>
      <x:c r="C6" s="17" t="str">
        <x:v>Governing Board</x:v>
      </x:c>
      <x:c r="D6" s="17" t="str">
        <x:v>A</x:v>
      </x:c>
      <x:c r="E6" s="17" t="str">
        <x:v>Project Sponsor</x:v>
      </x:c>
      <x:c r="F6" s="17" t="str">
        <x:v>R</x:v>
      </x:c>
      <x:c r="G6" s="17" t="str">
        <x:v>Existing non-conflicted authorities</x:v>
      </x:c>
      <x:c r="H6" s="17" t="str">
        <x:v>Organization-wide</x:v>
      </x:c>
      <x:c r="I6" s="17" t="str">
        <x:v>Resolution + due diligence</x:v>
      </x:c>
      <x:c r="J6" s="17" t="str">
        <x:v>Candidate cannot approve appointment</x:v>
      </x:c>
      <x:c r="K6" s="17" t="str">
        <x:v>Per term</x:v>
      </x:c>
      <x:c r="L6" s="17" t="str">
        <x:v>Mandatory</x:v>
      </x:c>
    </x:row>
    <x:row r="7">
      <x:c r="A7" s="17" t="str">
        <x:v>CUL-001</x:v>
      </x:c>
      <x:c r="B7" s="17" t="str">
        <x:v>Validate cultural rule</x:v>
      </x:c>
      <x:c r="C7" s="17" t="str">
        <x:v>Cultural Reviewer</x:v>
      </x:c>
      <x:c r="D7" s="17" t="str">
        <x:v>R</x:v>
      </x:c>
      <x:c r="E7" s="17" t="str">
        <x:v>Senior Community Authority</x:v>
      </x:c>
      <x:c r="F7" s="17" t="str">
        <x:v>A</x:v>
      </x:c>
      <x:c r="G7" s="17" t="str">
        <x:v>Content Editor; Legal/DPO if sensitive</x:v>
      </x:c>
      <x:c r="H7" s="17" t="str">
        <x:v>Assigned cultural domain</x:v>
      </x:c>
      <x:c r="I7" s="17" t="str">
        <x:v>Evidence + example path</x:v>
      </x:c>
      <x:c r="J7" s="17" t="str">
        <x:v>Reviewer ≠ final approver</x:v>
      </x:c>
      <x:c r="K7" s="17" t="str">
        <x:v>Per rule version</x:v>
      </x:c>
      <x:c r="L7" s="17" t="str">
        <x:v>Mandatory</x:v>
      </x:c>
    </x:row>
    <x:row r="8">
      <x:c r="A8" s="17" t="str">
        <x:v>GEN-001</x:v>
      </x:c>
      <x:c r="B8" s="17" t="str">
        <x:v>Approve branch member</x:v>
      </x:c>
      <x:c r="C8" s="17" t="str">
        <x:v>Branch Authority</x:v>
      </x:c>
      <x:c r="D8" s="17" t="str">
        <x:v>A</x:v>
      </x:c>
      <x:c r="E8" s="17" t="str">
        <x:v>Genealogy Verifier</x:v>
      </x:c>
      <x:c r="F8" s="17" t="str">
        <x:v>R</x:v>
      </x:c>
      <x:c r="G8" s="17" t="str">
        <x:v>Support Agent</x:v>
      </x:c>
      <x:c r="H8" s="17" t="str">
        <x:v>Assigned branch</x:v>
      </x:c>
      <x:c r="I8" s="17" t="str">
        <x:v>Identity/source evidence</x:v>
      </x:c>
      <x:c r="J8" s="17" t="str">
        <x:v>No own/direct-family approval</x:v>
      </x:c>
      <x:c r="K8" s="17" t="str">
        <x:v>Per request</x:v>
      </x:c>
      <x:c r="L8" s="17" t="str">
        <x:v>Mandatory</x:v>
      </x:c>
    </x:row>
    <x:row r="9">
      <x:c r="A9" s="17" t="str">
        <x:v>GEN-002</x:v>
      </x:c>
      <x:c r="B9" s="17" t="str">
        <x:v>Approve genealogy edge</x:v>
      </x:c>
      <x:c r="C9" s="17" t="str">
        <x:v>Branch Authority</x:v>
      </x:c>
      <x:c r="D9" s="17" t="str">
        <x:v>A</x:v>
      </x:c>
      <x:c r="E9" s="17" t="str">
        <x:v>Genealogy Verifier</x:v>
      </x:c>
      <x:c r="F9" s="17" t="str">
        <x:v>R</x:v>
      </x:c>
      <x:c r="G9" s="17" t="str">
        <x:v>Central Genealogy Authority if cross-branch</x:v>
      </x:c>
      <x:c r="H9" s="17" t="str">
        <x:v>Assigned branch</x:v>
      </x:c>
      <x:c r="I9" s="17" t="str">
        <x:v>Source + duplicate/cycle checks</x:v>
      </x:c>
      <x:c r="J9" s="17" t="str">
        <x:v>No self-entry approval</x:v>
      </x:c>
      <x:c r="K9" s="17" t="str">
        <x:v>Per relationship</x:v>
      </x:c>
      <x:c r="L9" s="17" t="str">
        <x:v>Mandatory</x:v>
      </x:c>
    </x:row>
    <x:row r="10">
      <x:c r="A10" s="17" t="str">
        <x:v>GEN-003</x:v>
      </x:c>
      <x:c r="B10" s="17" t="str">
        <x:v>Merge duplicate people</x:v>
      </x:c>
      <x:c r="C10" s="17" t="str">
        <x:v>Central Genealogy Authority</x:v>
      </x:c>
      <x:c r="D10" s="17" t="str">
        <x:v>A</x:v>
      </x:c>
      <x:c r="E10" s="17" t="str">
        <x:v>Genealogy Verifier</x:v>
      </x:c>
      <x:c r="F10" s="17" t="str">
        <x:v>R</x:v>
      </x:c>
      <x:c r="G10" s="17" t="str">
        <x:v>Affected Branch Authorities; DPO</x:v>
      </x:c>
      <x:c r="H10" s="17" t="str">
        <x:v>Cross-branch</x:v>
      </x:c>
      <x:c r="I10" s="17" t="str">
        <x:v>Merge report + rollback plan</x:v>
      </x:c>
      <x:c r="J10" s="17" t="str">
        <x:v>Two-person confirmation</x:v>
      </x:c>
      <x:c r="K10" s="17" t="str">
        <x:v>Per merge</x:v>
      </x:c>
      <x:c r="L10" s="17" t="str">
        <x:v>Mandatory</x:v>
      </x:c>
    </x:row>
    <x:row r="11">
      <x:c r="A11" s="17" t="str">
        <x:v>GEN-004</x:v>
      </x:c>
      <x:c r="B11" s="17" t="str">
        <x:v>Resolve disputed lineage</x:v>
      </x:c>
      <x:c r="C11" s="17" t="str">
        <x:v>Central Genealogy Authority / Board</x:v>
      </x:c>
      <x:c r="D11" s="17" t="str">
        <x:v>A</x:v>
      </x:c>
      <x:c r="E11" s="17" t="str">
        <x:v>Assigned independent panel</x:v>
      </x:c>
      <x:c r="F11" s="17" t="str">
        <x:v>R</x:v>
      </x:c>
      <x:c r="G11" s="17" t="str">
        <x:v>Affected branches; Legal; DPO</x:v>
      </x:c>
      <x:c r="H11" s="17" t="str">
        <x:v>Case-specific</x:v>
      </x:c>
      <x:c r="I11" s="17" t="str">
        <x:v>Evidence bundle + reasoned decision</x:v>
      </x:c>
      <x:c r="J11" s="17" t="str">
        <x:v>All conflicted persons recuse</x:v>
      </x:c>
      <x:c r="K11" s="17" t="str">
        <x:v>Per case</x:v>
      </x:c>
      <x:c r="L11" s="17" t="str">
        <x:v>Mandatory</x:v>
      </x:c>
    </x:row>
    <x:row r="12">
      <x:c r="A12" s="17" t="str">
        <x:v>PRV-001</x:v>
      </x:c>
      <x:c r="B12" s="17" t="str">
        <x:v>Approve public visibility</x:v>
      </x:c>
      <x:c r="C12" s="17" t="str">
        <x:v>Data subject or authorized policy owner</x:v>
      </x:c>
      <x:c r="D12" s="17" t="str">
        <x:v>A</x:v>
      </x:c>
      <x:c r="E12" s="17" t="str">
        <x:v>DPO</x:v>
      </x:c>
      <x:c r="F12" s="17" t="str">
        <x:v>R</x:v>
      </x:c>
      <x:c r="G12" s="17" t="str">
        <x:v>Branch Authority</x:v>
      </x:c>
      <x:c r="H12" s="17" t="str">
        <x:v>Record-specific</x:v>
      </x:c>
      <x:c r="I12" s="17" t="str">
        <x:v>Consent/legal basis</x:v>
      </x:c>
      <x:c r="J12" s="17" t="str">
        <x:v>No default public setting</x:v>
      </x:c>
      <x:c r="K12" s="17" t="str">
        <x:v>Per change</x:v>
      </x:c>
      <x:c r="L12" s="17" t="str">
        <x:v>Mandatory</x:v>
      </x:c>
    </x:row>
    <x:row r="13">
      <x:c r="A13" s="17" t="str">
        <x:v>SEC-001</x:v>
      </x:c>
      <x:c r="B13" s="17" t="str">
        <x:v>Grant privileged role</x:v>
      </x:c>
      <x:c r="C13" s="17" t="str">
        <x:v>Role owner + Security Admin</x:v>
      </x:c>
      <x:c r="D13" s="17" t="str">
        <x:v>A/R</x:v>
      </x:c>
      <x:c r="E13" s="17" t="str">
        <x:v>System Administrator</x:v>
      </x:c>
      <x:c r="F13" s="17" t="str">
        <x:v>R</x:v>
      </x:c>
      <x:c r="G13" s="17" t="str">
        <x:v>DPO; Auditor informed</x:v>
      </x:c>
      <x:c r="H13" s="17" t="str">
        <x:v>Exact environment/scope</x:v>
      </x:c>
      <x:c r="I13" s="17" t="str">
        <x:v>Approved appointment + MFA</x:v>
      </x:c>
      <x:c r="J13" s="17" t="str">
        <x:v>No shared accounts</x:v>
      </x:c>
      <x:c r="K13" s="17" t="str">
        <x:v>Per grant</x:v>
      </x:c>
      <x:c r="L13" s="17" t="str">
        <x:v>Mandatory</x:v>
      </x:c>
    </x:row>
    <x:row r="14">
      <x:c r="A14" s="17" t="str">
        <x:v>SEC-002</x:v>
      </x:c>
      <x:c r="B14" s="17" t="str">
        <x:v>Emergency privileged access</x:v>
      </x:c>
      <x:c r="C14" s="17" t="str">
        <x:v>Incident Commander</x:v>
      </x:c>
      <x:c r="D14" s="17" t="str">
        <x:v>A</x:v>
      </x:c>
      <x:c r="E14" s="17" t="str">
        <x:v>Security Administrator</x:v>
      </x:c>
      <x:c r="F14" s="17" t="str">
        <x:v>R</x:v>
      </x:c>
      <x:c r="G14" s="17" t="str">
        <x:v>DPO; Auditor</x:v>
      </x:c>
      <x:c r="H14" s="17" t="str">
        <x:v>Incident-limited</x:v>
      </x:c>
      <x:c r="I14" s="17" t="str">
        <x:v>Incident ID + expiry</x:v>
      </x:c>
      <x:c r="J14" s="17" t="str">
        <x:v>Independent post-review</x:v>
      </x:c>
      <x:c r="K14" s="17" t="str">
        <x:v>Per incident</x:v>
      </x:c>
      <x:c r="L14" s="17" t="str">
        <x:v>Mandatory</x:v>
      </x:c>
    </x:row>
    <x:row r="15">
      <x:c r="A15" s="17" t="str">
        <x:v>REL-001</x:v>
      </x:c>
      <x:c r="B15" s="17" t="str">
        <x:v>Approve production release</x:v>
      </x:c>
      <x:c r="C15" s="17" t="str">
        <x:v>Product Owner + Release Authority</x:v>
      </x:c>
      <x:c r="D15" s="17" t="str">
        <x:v>A</x:v>
      </x:c>
      <x:c r="E15" s="17" t="str">
        <x:v>Release Manager</x:v>
      </x:c>
      <x:c r="F15" s="17" t="str">
        <x:v>R</x:v>
      </x:c>
      <x:c r="G15" s="17" t="str">
        <x:v>QA; Security; DPO; Operations</x:v>
      </x:c>
      <x:c r="H15" s="17" t="str">
        <x:v>Release version</x:v>
      </x:c>
      <x:c r="I15" s="17" t="str">
        <x:v>UAT/security/rollback evidence</x:v>
      </x:c>
      <x:c r="J15" s="17" t="str">
        <x:v>Developer cannot sole-approve</x:v>
      </x:c>
      <x:c r="K15" s="17" t="str">
        <x:v>Per release</x:v>
      </x:c>
      <x:c r="L15" s="17" t="str">
        <x:v>Mandatory</x:v>
      </x:c>
    </x:row>
    <x:row r="16">
      <x:c r="A16" s="17" t="str">
        <x:v>FIN-001</x:v>
      </x:c>
      <x:c r="B16" s="17" t="str">
        <x:v>Approve procurement/payment</x:v>
      </x:c>
      <x:c r="C16" s="17" t="str">
        <x:v>Authorized finance approvers</x:v>
      </x:c>
      <x:c r="D16" s="17" t="str">
        <x:v>A</x:v>
      </x:c>
      <x:c r="E16" s="17" t="str">
        <x:v>Finance Officer</x:v>
      </x:c>
      <x:c r="F16" s="17" t="str">
        <x:v>R</x:v>
      </x:c>
      <x:c r="G16" s="17" t="str">
        <x:v>Sponsor; Auditor</x:v>
      </x:c>
      <x:c r="H16" s="17" t="str">
        <x:v>Threshold-based</x:v>
      </x:c>
      <x:c r="I16" s="17" t="str">
        <x:v>Invoice/contract/budget evidence</x:v>
      </x:c>
      <x:c r="J16" s="17" t="str">
        <x:v>Requester ≠ approver; dual approval</x:v>
      </x:c>
      <x:c r="K16" s="17" t="str">
        <x:v>Per transaction</x:v>
      </x:c>
      <x:c r="L16" s="17" t="str">
        <x:v>Mandatory</x:v>
      </x:c>
    </x:row>
    <x:row r="17">
      <x:c r="A17" s="17" t="str">
        <x:v>OPS-001</x:v>
      </x:c>
      <x:c r="B17" s="17" t="str">
        <x:v>Delete or anonymize data</x:v>
      </x:c>
      <x:c r="C17" s="17" t="str">
        <x:v>DPO + authorized data owner</x:v>
      </x:c>
      <x:c r="D17" s="17" t="str">
        <x:v>A</x:v>
      </x:c>
      <x:c r="E17" s="17" t="str">
        <x:v>System Administrator</x:v>
      </x:c>
      <x:c r="F17" s="17" t="str">
        <x:v>R</x:v>
      </x:c>
      <x:c r="G17" s="17" t="str">
        <x:v>Legal; Auditor</x:v>
      </x:c>
      <x:c r="H17" s="17" t="str">
        <x:v>Record-specific</x:v>
      </x:c>
      <x:c r="I17" s="17" t="str">
        <x:v>Verified request + retention check</x:v>
      </x:c>
      <x:c r="J17" s="17" t="str">
        <x:v>Backups/logs follow policy</x:v>
      </x:c>
      <x:c r="K17" s="17" t="str">
        <x:v>Per request</x:v>
      </x:c>
      <x:c r="L17" s="17" t="str">
        <x:v>Mandatory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6" hidden="0" customWidth="1"/>
    <x:col min="5" max="5" width="18" hidden="0" customWidth="1"/>
    <x:col min="6" max="6" width="21" hidden="0" customWidth="1"/>
    <x:col min="7" max="7" width="19" hidden="0" customWidth="1"/>
    <x:col min="8" max="8" width="18" hidden="0" customWidth="1"/>
    <x:col min="9" max="9" width="16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4" hidden="0" customWidth="1"/>
  </x:cols>
  <x:sheetData>
    <x:row r="1" ht="32" customHeight="1">
      <x:c r="A1" s="2" t="str">
        <x:v>Release 1.0 SDLC RACI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5" t="str">
        <x:v>R = Responsible; A = Accountable; C = Consulted; I = Informed. Each activity has exactly one accountable role/group.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1" t="str">
        <x:v>SDLC Activity</x:v>
      </x:c>
      <x:c r="B4" s="11" t="str">
        <x:v>Board</x:v>
      </x:c>
      <x:c r="C4" s="11" t="str">
        <x:v>Sponsor</x:v>
      </x:c>
      <x:c r="D4" s="11" t="str">
        <x:v>Product Owner</x:v>
      </x:c>
      <x:c r="E4" s="11" t="str">
        <x:v>Project Manager</x:v>
      </x:c>
      <x:c r="F4" s="11" t="str">
        <x:v>Cultural Authority</x:v>
      </x:c>
      <x:c r="G4" s="11" t="str">
        <x:v>Branch Authority</x:v>
      </x:c>
      <x:c r="H4" s="11" t="str">
        <x:v>DPO/Legal</x:v>
      </x:c>
      <x:c r="I4" s="11" t="str">
        <x:v>Security</x:v>
      </x:c>
      <x:c r="J4" s="11" t="str">
        <x:v>Engineering</x:v>
      </x:c>
      <x:c r="K4" s="11" t="str">
        <x:v>QA/UAT</x:v>
      </x:c>
      <x:c r="L4" s="11" t="str">
        <x:v>Release Manager</x:v>
      </x:c>
      <x:c r="M4" s="11" t="str">
        <x:v>Operations</x:v>
      </x:c>
      <x:c r="N4" s="11" t="str">
        <x:v>Auditor</x:v>
      </x:c>
    </x:row>
    <x:row r="5">
      <x:c r="A5" s="16" t="str">
        <x:v>Approve scope and governance</x:v>
      </x:c>
      <x:c r="B5" s="16" t="str">
        <x:v>A</x:v>
      </x:c>
      <x:c r="C5" s="16" t="str">
        <x:v>R</x:v>
      </x:c>
      <x:c r="D5" s="16" t="str">
        <x:v>C</x:v>
      </x:c>
      <x:c r="E5" s="16" t="str">
        <x:v>R</x:v>
      </x:c>
      <x:c r="F5" s="16" t="str">
        <x:v>C</x:v>
      </x:c>
      <x:c r="G5" s="16" t="str">
        <x:v>I</x:v>
      </x:c>
      <x:c r="H5" s="16" t="str">
        <x:v>C</x:v>
      </x:c>
      <x:c r="I5" s="16" t="str">
        <x:v>I</x:v>
      </x:c>
      <x:c r="J5" s="16" t="str">
        <x:v>I</x:v>
      </x:c>
      <x:c r="K5" s="16" t="str">
        <x:v>I</x:v>
      </x:c>
      <x:c r="L5" s="16" t="str">
        <x:v>I</x:v>
      </x:c>
      <x:c r="M5" s="16" t="str">
        <x:v>I</x:v>
      </x:c>
      <x:c r="N5" s="16" t="str">
        <x:v>C</x:v>
      </x:c>
    </x:row>
    <x:row r="6">
      <x:c r="A6" s="17" t="str">
        <x:v>Baseline requirements</x:v>
      </x:c>
      <x:c r="B6" s="17" t="str">
        <x:v>I</x:v>
      </x:c>
      <x:c r="C6" s="17" t="str">
        <x:v>A</x:v>
      </x:c>
      <x:c r="D6" s="17" t="str">
        <x:v>R</x:v>
      </x:c>
      <x:c r="E6" s="17" t="str">
        <x:v>R</x:v>
      </x:c>
      <x:c r="F6" s="17" t="str">
        <x:v>C</x:v>
      </x:c>
      <x:c r="G6" s="17" t="str">
        <x:v>C</x:v>
      </x:c>
      <x:c r="H6" s="17" t="str">
        <x:v>C</x:v>
      </x:c>
      <x:c r="I6" s="17" t="str">
        <x:v>C</x:v>
      </x:c>
      <x:c r="J6" s="17" t="str">
        <x:v>C</x:v>
      </x:c>
      <x:c r="K6" s="17" t="str">
        <x:v>C</x:v>
      </x:c>
      <x:c r="L6" s="17" t="str">
        <x:v>I</x:v>
      </x:c>
      <x:c r="M6" s="17" t="str">
        <x:v>I</x:v>
      </x:c>
      <x:c r="N6" s="17" t="str">
        <x:v>I</x:v>
      </x:c>
    </x:row>
    <x:row r="7">
      <x:c r="A7" s="17" t="str">
        <x:v>Approve cultural rules</x:v>
      </x:c>
      <x:c r="B7" s="17" t="str">
        <x:v>I</x:v>
      </x:c>
      <x:c r="C7" s="17" t="str">
        <x:v>I</x:v>
      </x:c>
      <x:c r="D7" s="17" t="str">
        <x:v>C</x:v>
      </x:c>
      <x:c r="E7" s="17" t="str">
        <x:v>I</x:v>
      </x:c>
      <x:c r="F7" s="17" t="str">
        <x:v>A/R</x:v>
      </x:c>
      <x:c r="G7" s="17" t="str">
        <x:v>C</x:v>
      </x:c>
      <x:c r="H7" s="17" t="str">
        <x:v>C</x:v>
      </x:c>
      <x:c r="I7" s="17" t="str">
        <x:v>I</x:v>
      </x:c>
      <x:c r="J7" s="17" t="str">
        <x:v>I</x:v>
      </x:c>
      <x:c r="K7" s="17" t="str">
        <x:v>C</x:v>
      </x:c>
      <x:c r="L7" s="17" t="str">
        <x:v>I</x:v>
      </x:c>
      <x:c r="M7" s="17" t="str">
        <x:v>I</x:v>
      </x:c>
      <x:c r="N7" s="17" t="str">
        <x:v>I</x:v>
      </x:c>
    </x:row>
    <x:row r="8">
      <x:c r="A8" s="17" t="str">
        <x:v>Approve privacy/legal policies</x:v>
      </x:c>
      <x:c r="B8" s="17" t="str">
        <x:v>I</x:v>
      </x:c>
      <x:c r="C8" s="17" t="str">
        <x:v>C</x:v>
      </x:c>
      <x:c r="D8" s="17" t="str">
        <x:v>C</x:v>
      </x:c>
      <x:c r="E8" s="17" t="str">
        <x:v>I</x:v>
      </x:c>
      <x:c r="F8" s="17" t="str">
        <x:v>C</x:v>
      </x:c>
      <x:c r="G8" s="17" t="str">
        <x:v>I</x:v>
      </x:c>
      <x:c r="H8" s="17" t="str">
        <x:v>A/R</x:v>
      </x:c>
      <x:c r="I8" s="17" t="str">
        <x:v>C</x:v>
      </x:c>
      <x:c r="J8" s="17" t="str">
        <x:v>C</x:v>
      </x:c>
      <x:c r="K8" s="17" t="str">
        <x:v>C</x:v>
      </x:c>
      <x:c r="L8" s="17" t="str">
        <x:v>I</x:v>
      </x:c>
      <x:c r="M8" s="17" t="str">
        <x:v>C</x:v>
      </x:c>
      <x:c r="N8" s="17" t="str">
        <x:v>C</x:v>
      </x:c>
    </x:row>
    <x:row r="9">
      <x:c r="A9" s="17" t="str">
        <x:v>Architecture and threat model</x:v>
      </x:c>
      <x:c r="B9" s="17" t="str">
        <x:v>I</x:v>
      </x:c>
      <x:c r="C9" s="17" t="str">
        <x:v>I</x:v>
      </x:c>
      <x:c r="D9" s="17" t="str">
        <x:v>C</x:v>
      </x:c>
      <x:c r="E9" s="17" t="str">
        <x:v>C</x:v>
      </x:c>
      <x:c r="F9" s="17" t="str">
        <x:v>C</x:v>
      </x:c>
      <x:c r="G9" s="17" t="str">
        <x:v>I</x:v>
      </x:c>
      <x:c r="H9" s="17" t="str">
        <x:v>C</x:v>
      </x:c>
      <x:c r="I9" s="17" t="str">
        <x:v>A/R</x:v>
      </x:c>
      <x:c r="J9" s="17" t="str">
        <x:v>R</x:v>
      </x:c>
      <x:c r="K9" s="17" t="str">
        <x:v>C</x:v>
      </x:c>
      <x:c r="L9" s="17" t="str">
        <x:v>I</x:v>
      </x:c>
      <x:c r="M9" s="17" t="str">
        <x:v>C</x:v>
      </x:c>
      <x:c r="N9" s="17" t="str">
        <x:v>I</x:v>
      </x:c>
    </x:row>
    <x:row r="10">
      <x:c r="A10" s="17" t="str">
        <x:v>Develop Release 1.0</x:v>
      </x:c>
      <x:c r="B10" s="17" t="str">
        <x:v>I</x:v>
      </x:c>
      <x:c r="C10" s="17" t="str">
        <x:v>I</x:v>
      </x:c>
      <x:c r="D10" s="17" t="str">
        <x:v>A</x:v>
      </x:c>
      <x:c r="E10" s="17" t="str">
        <x:v>R</x:v>
      </x:c>
      <x:c r="F10" s="17" t="str">
        <x:v>C</x:v>
      </x:c>
      <x:c r="G10" s="17" t="str">
        <x:v>I</x:v>
      </x:c>
      <x:c r="H10" s="17" t="str">
        <x:v>C</x:v>
      </x:c>
      <x:c r="I10" s="17" t="str">
        <x:v>C</x:v>
      </x:c>
      <x:c r="J10" s="17" t="str">
        <x:v>R</x:v>
      </x:c>
      <x:c r="K10" s="17" t="str">
        <x:v>C</x:v>
      </x:c>
      <x:c r="L10" s="17" t="str">
        <x:v>I</x:v>
      </x:c>
      <x:c r="M10" s="17" t="str">
        <x:v>C</x:v>
      </x:c>
      <x:c r="N10" s="17" t="str">
        <x:v>I</x:v>
      </x:c>
    </x:row>
    <x:row r="11">
      <x:c r="A11" s="17" t="str">
        <x:v>Genealogy data migration</x:v>
      </x:c>
      <x:c r="B11" s="17" t="str">
        <x:v>I</x:v>
      </x:c>
      <x:c r="C11" s="17" t="str">
        <x:v>I</x:v>
      </x:c>
      <x:c r="D11" s="17" t="str">
        <x:v>C</x:v>
      </x:c>
      <x:c r="E11" s="17" t="str">
        <x:v>R</x:v>
      </x:c>
      <x:c r="F11" s="17" t="str">
        <x:v>C</x:v>
      </x:c>
      <x:c r="G11" s="17" t="str">
        <x:v>A/R</x:v>
      </x:c>
      <x:c r="H11" s="17" t="str">
        <x:v>C</x:v>
      </x:c>
      <x:c r="I11" s="17" t="str">
        <x:v>C</x:v>
      </x:c>
      <x:c r="J11" s="17" t="str">
        <x:v>R</x:v>
      </x:c>
      <x:c r="K11" s="17" t="str">
        <x:v>C</x:v>
      </x:c>
      <x:c r="L11" s="17" t="str">
        <x:v>I</x:v>
      </x:c>
      <x:c r="M11" s="17" t="str">
        <x:v>C</x:v>
      </x:c>
      <x:c r="N11" s="17" t="str">
        <x:v>I</x:v>
      </x:c>
    </x:row>
    <x:row r="12">
      <x:c r="A12" s="17" t="str">
        <x:v>System/integration/security testing</x:v>
      </x:c>
      <x:c r="B12" s="17" t="str">
        <x:v>I</x:v>
      </x:c>
      <x:c r="C12" s="17" t="str">
        <x:v>I</x:v>
      </x:c>
      <x:c r="D12" s="17" t="str">
        <x:v>C</x:v>
      </x:c>
      <x:c r="E12" s="17" t="str">
        <x:v>C</x:v>
      </x:c>
      <x:c r="F12" s="17" t="str">
        <x:v>I</x:v>
      </x:c>
      <x:c r="G12" s="17" t="str">
        <x:v>I</x:v>
      </x:c>
      <x:c r="H12" s="17" t="str">
        <x:v>C</x:v>
      </x:c>
      <x:c r="I12" s="17" t="str">
        <x:v>C/R</x:v>
      </x:c>
      <x:c r="J12" s="17" t="str">
        <x:v>R</x:v>
      </x:c>
      <x:c r="K12" s="17" t="str">
        <x:v>A/R</x:v>
      </x:c>
      <x:c r="L12" s="17" t="str">
        <x:v>I</x:v>
      </x:c>
      <x:c r="M12" s="17" t="str">
        <x:v>C</x:v>
      </x:c>
      <x:c r="N12" s="17" t="str">
        <x:v>I</x:v>
      </x:c>
    </x:row>
    <x:row r="13">
      <x:c r="A13" s="17" t="str">
        <x:v>Community UAT</x:v>
      </x:c>
      <x:c r="B13" s="17" t="str">
        <x:v>I</x:v>
      </x:c>
      <x:c r="C13" s="17" t="str">
        <x:v>I</x:v>
      </x:c>
      <x:c r="D13" s="17" t="str">
        <x:v>A</x:v>
      </x:c>
      <x:c r="E13" s="17" t="str">
        <x:v>R</x:v>
      </x:c>
      <x:c r="F13" s="17" t="str">
        <x:v>C</x:v>
      </x:c>
      <x:c r="G13" s="17" t="str">
        <x:v>R</x:v>
      </x:c>
      <x:c r="H13" s="17" t="str">
        <x:v>C</x:v>
      </x:c>
      <x:c r="I13" s="17" t="str">
        <x:v>I</x:v>
      </x:c>
      <x:c r="J13" s="17" t="str">
        <x:v>C</x:v>
      </x:c>
      <x:c r="K13" s="17" t="str">
        <x:v>R</x:v>
      </x:c>
      <x:c r="L13" s="17" t="str">
        <x:v>I</x:v>
      </x:c>
      <x:c r="M13" s="17" t="str">
        <x:v>C</x:v>
      </x:c>
      <x:c r="N13" s="17" t="str">
        <x:v>I</x:v>
      </x:c>
    </x:row>
    <x:row r="14">
      <x:c r="A14" s="17" t="str">
        <x:v>Release go/no-go</x:v>
      </x:c>
      <x:c r="B14" s="17" t="str">
        <x:v>I</x:v>
      </x:c>
      <x:c r="C14" s="17" t="str">
        <x:v>C</x:v>
      </x:c>
      <x:c r="D14" s="17" t="str">
        <x:v>A</x:v>
      </x:c>
      <x:c r="E14" s="17" t="str">
        <x:v>R</x:v>
      </x:c>
      <x:c r="F14" s="17" t="str">
        <x:v>C</x:v>
      </x:c>
      <x:c r="G14" s="17" t="str">
        <x:v>I</x:v>
      </x:c>
      <x:c r="H14" s="17" t="str">
        <x:v>C</x:v>
      </x:c>
      <x:c r="I14" s="17" t="str">
        <x:v>C</x:v>
      </x:c>
      <x:c r="J14" s="17" t="str">
        <x:v>C</x:v>
      </x:c>
      <x:c r="K14" s="17" t="str">
        <x:v>R</x:v>
      </x:c>
      <x:c r="L14" s="17" t="str">
        <x:v>R</x:v>
      </x:c>
      <x:c r="M14" s="17" t="str">
        <x:v>C</x:v>
      </x:c>
      <x:c r="N14" s="17" t="str">
        <x:v>I</x:v>
      </x:c>
    </x:row>
    <x:row r="15">
      <x:c r="A15" s="17" t="str">
        <x:v>Production deployment</x:v>
      </x:c>
      <x:c r="B15" s="17" t="str">
        <x:v>I</x:v>
      </x:c>
      <x:c r="C15" s="17" t="str">
        <x:v>I</x:v>
      </x:c>
      <x:c r="D15" s="17" t="str">
        <x:v>I</x:v>
      </x:c>
      <x:c r="E15" s="17" t="str">
        <x:v>C</x:v>
      </x:c>
      <x:c r="F15" s="17" t="str">
        <x:v>I</x:v>
      </x:c>
      <x:c r="G15" s="17" t="str">
        <x:v>I</x:v>
      </x:c>
      <x:c r="H15" s="17" t="str">
        <x:v>I</x:v>
      </x:c>
      <x:c r="I15" s="17" t="str">
        <x:v>C</x:v>
      </x:c>
      <x:c r="J15" s="17" t="str">
        <x:v>R</x:v>
      </x:c>
      <x:c r="K15" s="17" t="str">
        <x:v>C</x:v>
      </x:c>
      <x:c r="L15" s="17" t="str">
        <x:v>A/R</x:v>
      </x:c>
      <x:c r="M15" s="17" t="str">
        <x:v>R</x:v>
      </x:c>
      <x:c r="N15" s="17" t="str">
        <x:v>I</x:v>
      </x:c>
    </x:row>
    <x:row r="16">
      <x:c r="A16" s="17" t="str">
        <x:v>Incident response</x:v>
      </x:c>
      <x:c r="B16" s="17" t="str">
        <x:v>I</x:v>
      </x:c>
      <x:c r="C16" s="17" t="str">
        <x:v>I</x:v>
      </x:c>
      <x:c r="D16" s="17" t="str">
        <x:v>I</x:v>
      </x:c>
      <x:c r="E16" s="17" t="str">
        <x:v>C</x:v>
      </x:c>
      <x:c r="F16" s="17" t="str">
        <x:v>I</x:v>
      </x:c>
      <x:c r="G16" s="17" t="str">
        <x:v>I</x:v>
      </x:c>
      <x:c r="H16" s="17" t="str">
        <x:v>C</x:v>
      </x:c>
      <x:c r="I16" s="17" t="str">
        <x:v>A/R</x:v>
      </x:c>
      <x:c r="J16" s="17" t="str">
        <x:v>R</x:v>
      </x:c>
      <x:c r="K16" s="17" t="str">
        <x:v>C</x:v>
      </x:c>
      <x:c r="L16" s="17" t="str">
        <x:v>C</x:v>
      </x:c>
      <x:c r="M16" s="17" t="str">
        <x:v>R</x:v>
      </x:c>
      <x:c r="N16" s="17" t="str">
        <x:v>I</x:v>
      </x:c>
    </x:row>
    <x:row r="17">
      <x:c r="A17" s="17" t="str">
        <x:v>Access/compliance audit</x:v>
      </x:c>
      <x:c r="B17" s="17" t="str">
        <x:v>I</x:v>
      </x:c>
      <x:c r="C17" s="17" t="str">
        <x:v>I</x:v>
      </x:c>
      <x:c r="D17" s="17" t="str">
        <x:v>I</x:v>
      </x:c>
      <x:c r="E17" s="17" t="str">
        <x:v>I</x:v>
      </x:c>
      <x:c r="F17" s="17" t="str">
        <x:v>I</x:v>
      </x:c>
      <x:c r="G17" s="17" t="str">
        <x:v>I</x:v>
      </x:c>
      <x:c r="H17" s="17" t="str">
        <x:v>C</x:v>
      </x:c>
      <x:c r="I17" s="17" t="str">
        <x:v>C</x:v>
      </x:c>
      <x:c r="J17" s="17" t="str">
        <x:v>I</x:v>
      </x:c>
      <x:c r="K17" s="17" t="str">
        <x:v>I</x:v>
      </x:c>
      <x:c r="L17" s="17" t="str">
        <x:v>I</x:v>
      </x:c>
      <x:c r="M17" s="17" t="str">
        <x:v>C</x:v>
      </x:c>
      <x:c r="N17" s="17" t="str">
        <x:v>A/R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7" hidden="0" customWidth="1"/>
    <x:col min="5" max="5" width="28" hidden="0" customWidth="1"/>
    <x:col min="6" max="6" width="44" hidden="0" customWidth="1"/>
    <x:col min="7" max="7" width="28" hidden="0" customWidth="1"/>
    <x:col min="8" max="8" width="14" hidden="0" customWidth="1"/>
    <x:col min="9" max="9" width="16" hidden="0" customWidth="1"/>
    <x:col min="10" max="10" width="36" hidden="0" customWidth="1"/>
    <x:col min="11" max="11" width="22" hidden="0" customWidth="1"/>
    <x:col min="12" max="12" width="16" hidden="0" customWidth="1"/>
  </x:cols>
  <x:sheetData>
    <x:row r="1" ht="32" customHeight="1">
      <x:c r="A1" s="2" t="str">
        <x:v>Separation-of-Duties &amp; Recusal Controls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5" t="str">
        <x:v>These controls must be enforced in workflow logic, not only documented as policy.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1" t="str">
        <x:v>Control ID</x:v>
      </x:c>
      <x:c r="B4" s="11" t="str">
        <x:v>Process</x:v>
      </x:c>
      <x:c r="C4" s="11" t="str">
        <x:v>Initiator</x:v>
      </x:c>
      <x:c r="D4" s="11" t="str">
        <x:v>Reviewer/Processor</x:v>
      </x:c>
      <x:c r="E4" s="11" t="str">
        <x:v>Final Authority</x:v>
      </x:c>
      <x:c r="F4" s="11" t="str">
        <x:v>Conflict Rule</x:v>
      </x:c>
      <x:c r="G4" s="11" t="str">
        <x:v>Enforcement</x:v>
      </x:c>
      <x:c r="H4" s="11" t="str">
        <x:v>Risk</x:v>
      </x:c>
      <x:c r="I4" s="11" t="str">
        <x:v>Frequency</x:v>
      </x:c>
      <x:c r="J4" s="11" t="str">
        <x:v>Evidence</x:v>
      </x:c>
      <x:c r="K4" s="11" t="str">
        <x:v>Control Owner</x:v>
      </x:c>
      <x:c r="L4" s="11" t="str">
        <x:v>Launch Gate</x:v>
      </x:c>
    </x:row>
    <x:row r="5">
      <x:c r="A5" s="16" t="str">
        <x:v>SOD-001</x:v>
      </x:c>
      <x:c r="B5" s="16" t="str">
        <x:v>Cultural rule publication</x:v>
      </x:c>
      <x:c r="C5" s="16" t="str">
        <x:v>Rule proposer</x:v>
      </x:c>
      <x:c r="D5" s="16" t="str">
        <x:v>Cultural reviewer</x:v>
      </x:c>
      <x:c r="E5" s="16" t="str">
        <x:v>Senior final approver</x:v>
      </x:c>
      <x:c r="F5" s="16" t="str">
        <x:v>All three different people</x:v>
      </x:c>
      <x:c r="G5" s="16" t="str">
        <x:v>Block workflow</x:v>
      </x:c>
      <x:c r="H5" s="16" t="str">
        <x:v>Critical</x:v>
      </x:c>
      <x:c r="I5" s="16" t="str">
        <x:v>Per rule</x:v>
      </x:c>
      <x:c r="J5" s="16" t="str">
        <x:v>Audit log + identities</x:v>
      </x:c>
      <x:c r="K5" s="16" t="str">
        <x:v>Security Admin</x:v>
      </x:c>
      <x:c r="L5" s="16" t="str">
        <x:v>Required</x:v>
      </x:c>
    </x:row>
    <x:row r="6">
      <x:c r="A6" s="17" t="str">
        <x:v>SOD-002</x:v>
      </x:c>
      <x:c r="B6" s="17" t="str">
        <x:v>Genealogy record approval</x:v>
      </x:c>
      <x:c r="C6" s="17" t="str">
        <x:v>Record submitter</x:v>
      </x:c>
      <x:c r="D6" s="17" t="str">
        <x:v>Verifier</x:v>
      </x:c>
      <x:c r="E6" s="17" t="str">
        <x:v>Branch Authority</x:v>
      </x:c>
      <x:c r="F6" s="17" t="str">
        <x:v>Submitter cannot verify/approve own or direct-family case</x:v>
      </x:c>
      <x:c r="G6" s="17" t="str">
        <x:v>Recusal + reassignment</x:v>
      </x:c>
      <x:c r="H6" s="17" t="str">
        <x:v>High</x:v>
      </x:c>
      <x:c r="I6" s="17" t="str">
        <x:v>Per case</x:v>
      </x:c>
      <x:c r="J6" s="17" t="str">
        <x:v>Relationship/conflict declaration</x:v>
      </x:c>
      <x:c r="K6" s="17" t="str">
        <x:v>Branch Authority</x:v>
      </x:c>
      <x:c r="L6" s="17" t="str">
        <x:v>Required</x:v>
      </x:c>
    </x:row>
    <x:row r="7">
      <x:c r="A7" s="17" t="str">
        <x:v>SOD-003</x:v>
      </x:c>
      <x:c r="B7" s="17" t="str">
        <x:v>Privilege provisioning</x:v>
      </x:c>
      <x:c r="C7" s="17" t="str">
        <x:v>Role requester</x:v>
      </x:c>
      <x:c r="D7" s="17" t="str">
        <x:v>Role owner</x:v>
      </x:c>
      <x:c r="E7" s="17" t="str">
        <x:v>Security Admin</x:v>
      </x:c>
      <x:c r="F7" s="17" t="str">
        <x:v>Requester cannot grant own access</x:v>
      </x:c>
      <x:c r="G7" s="17" t="str">
        <x:v>Dual approval</x:v>
      </x:c>
      <x:c r="H7" s="17" t="str">
        <x:v>Critical</x:v>
      </x:c>
      <x:c r="I7" s="17" t="str">
        <x:v>Per grant</x:v>
      </x:c>
      <x:c r="J7" s="17" t="str">
        <x:v>Approval + MFA record</x:v>
      </x:c>
      <x:c r="K7" s="17" t="str">
        <x:v>DPO/Auditor</x:v>
      </x:c>
      <x:c r="L7" s="17" t="str">
        <x:v>Required</x:v>
      </x:c>
    </x:row>
    <x:row r="8">
      <x:c r="A8" s="17" t="str">
        <x:v>SOD-004</x:v>
      </x:c>
      <x:c r="B8" s="17" t="str">
        <x:v>Audit evidence</x:v>
      </x:c>
      <x:c r="C8" s="17" t="str">
        <x:v>System Admin</x:v>
      </x:c>
      <x:c r="D8" s="17" t="str">
        <x:v>Security Admin</x:v>
      </x:c>
      <x:c r="E8" s="17" t="str">
        <x:v>Independent Auditor</x:v>
      </x:c>
      <x:c r="F8" s="17" t="str">
        <x:v>Administrators cannot alter/delete audit records</x:v>
      </x:c>
      <x:c r="G8" s="17" t="str">
        <x:v>Immutable external log store</x:v>
      </x:c>
      <x:c r="H8" s="17" t="str">
        <x:v>Critical</x:v>
      </x:c>
      <x:c r="I8" s="17" t="str">
        <x:v>Continuous</x:v>
      </x:c>
      <x:c r="J8" s="17" t="str">
        <x:v>Log integrity proof</x:v>
      </x:c>
      <x:c r="K8" s="17" t="str">
        <x:v>Auditor</x:v>
      </x:c>
      <x:c r="L8" s="17" t="str">
        <x:v>Required</x:v>
      </x:c>
    </x:row>
    <x:row r="9">
      <x:c r="A9" s="17" t="str">
        <x:v>SOD-005</x:v>
      </x:c>
      <x:c r="B9" s="17" t="str">
        <x:v>Production release</x:v>
      </x:c>
      <x:c r="C9" s="17" t="str">
        <x:v>Developer</x:v>
      </x:c>
      <x:c r="D9" s="17" t="str">
        <x:v>QA/UAT approver</x:v>
      </x:c>
      <x:c r="E9" s="17" t="str">
        <x:v>Release Manager</x:v>
      </x:c>
      <x:c r="F9" s="17" t="str">
        <x:v>Developer cannot be sole test/release approver</x:v>
      </x:c>
      <x:c r="G9" s="17" t="str">
        <x:v>Protected pipeline gates</x:v>
      </x:c>
      <x:c r="H9" s="17" t="str">
        <x:v>Critical</x:v>
      </x:c>
      <x:c r="I9" s="17" t="str">
        <x:v>Per release</x:v>
      </x:c>
      <x:c r="J9" s="17" t="str">
        <x:v>Signed build + test evidence</x:v>
      </x:c>
      <x:c r="K9" s="17" t="str">
        <x:v>Technology Lead</x:v>
      </x:c>
      <x:c r="L9" s="17" t="str">
        <x:v>Required</x:v>
      </x:c>
    </x:row>
    <x:row r="10">
      <x:c r="A10" s="17" t="str">
        <x:v>SOD-006</x:v>
      </x:c>
      <x:c r="B10" s="17" t="str">
        <x:v>Payment</x:v>
      </x:c>
      <x:c r="C10" s="17" t="str">
        <x:v>Requester</x:v>
      </x:c>
      <x:c r="D10" s="17" t="str">
        <x:v>Finance processor</x:v>
      </x:c>
      <x:c r="E10" s="17" t="str">
        <x:v>Two authorized approvers</x:v>
      </x:c>
      <x:c r="F10" s="17" t="str">
        <x:v>Requester/processor cannot provide all approvals</x:v>
      </x:c>
      <x:c r="G10" s="17" t="str">
        <x:v>Dual authorization</x:v>
      </x:c>
      <x:c r="H10" s="17" t="str">
        <x:v>Critical</x:v>
      </x:c>
      <x:c r="I10" s="17" t="str">
        <x:v>Per payment</x:v>
      </x:c>
      <x:c r="J10" s="17" t="str">
        <x:v>Invoice + approvals</x:v>
      </x:c>
      <x:c r="K10" s="17" t="str">
        <x:v>Auditor</x:v>
      </x:c>
      <x:c r="L10" s="17" t="str">
        <x:v>Required</x:v>
      </x:c>
    </x:row>
    <x:row r="11">
      <x:c r="A11" s="17" t="str">
        <x:v>SOD-007</x:v>
      </x:c>
      <x:c r="B11" s="17" t="str">
        <x:v>Privacy request</x:v>
      </x:c>
      <x:c r="C11" s="17" t="str">
        <x:v>Support intake</x:v>
      </x:c>
      <x:c r="D11" s="17" t="str">
        <x:v>DPO decision</x:v>
      </x:c>
      <x:c r="E11" s="17" t="str">
        <x:v>System Admin execution</x:v>
      </x:c>
      <x:c r="F11" s="17" t="str">
        <x:v>Identity verifier separated from irreversible execution</x:v>
      </x:c>
      <x:c r="G11" s="17" t="str">
        <x:v>Case workflow</x:v>
      </x:c>
      <x:c r="H11" s="17" t="str">
        <x:v>High</x:v>
      </x:c>
      <x:c r="I11" s="17" t="str">
        <x:v>Per request</x:v>
      </x:c>
      <x:c r="J11" s="17" t="str">
        <x:v>Request + legal basis + execution proof</x:v>
      </x:c>
      <x:c r="K11" s="17" t="str">
        <x:v>DPO</x:v>
      </x:c>
      <x:c r="L11" s="17" t="str">
        <x:v>Required</x:v>
      </x:c>
    </x:row>
    <x:row r="12">
      <x:c r="A12" s="17" t="str">
        <x:v>SOD-008</x:v>
      </x:c>
      <x:c r="B12" s="17" t="str">
        <x:v>Dispute resolution</x:v>
      </x:c>
      <x:c r="C12" s="17" t="str">
        <x:v>Affected branch/person</x:v>
      </x:c>
      <x:c r="D12" s="17" t="str">
        <x:v>Independent investigator</x:v>
      </x:c>
      <x:c r="E12" s="17" t="str">
        <x:v>Final panel</x:v>
      </x:c>
      <x:c r="F12" s="17" t="str">
        <x:v>All materially conflicted persons recuse</x:v>
      </x:c>
      <x:c r="G12" s="17" t="str">
        <x:v>Conflict declaration</x:v>
      </x:c>
      <x:c r="H12" s="17" t="str">
        <x:v>High</x:v>
      </x:c>
      <x:c r="I12" s="17" t="str">
        <x:v>Per case</x:v>
      </x:c>
      <x:c r="J12" s="17" t="str">
        <x:v>Evidence + reasoned decision</x:v>
      </x:c>
      <x:c r="K12" s="17" t="str">
        <x:v>Board</x:v>
      </x:c>
      <x:c r="L12" s="17" t="str">
        <x:v>Required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0" hidden="0" customWidth="1"/>
    <x:col min="4" max="4" width="28" hidden="0" customWidth="1"/>
    <x:col min="5" max="5" width="34" hidden="0" customWidth="1"/>
    <x:col min="6" max="6" width="34" hidden="0" customWidth="1"/>
    <x:col min="7" max="7" width="20" hidden="0" customWidth="1"/>
    <x:col min="8" max="8" width="20" hidden="0" customWidth="1"/>
    <x:col min="9" max="9" width="40" hidden="0" customWidth="1"/>
    <x:col min="10" max="10" width="22" hidden="0" customWidth="1"/>
    <x:col min="11" max="11" width="38" hidden="0" customWidth="1"/>
    <x:col min="12" max="12" width="16" hidden="0" customWidth="1"/>
  </x:cols>
  <x:sheetData>
    <x:row r="1" ht="32" customHeight="1">
      <x:c r="A1" s="2" t="str">
        <x:v>Operational &amp; Governance Escalation Matrix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5" t="str">
        <x:v>Escalation routes are role-based until names and on-call contacts are appointed.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1" t="str">
        <x:v>Class</x:v>
      </x:c>
      <x:c r="B4" s="11" t="str">
        <x:v>Trigger</x:v>
      </x:c>
      <x:c r="C4" s="11" t="str">
        <x:v>Acknowledge</x:v>
      </x:c>
      <x:c r="D4" s="11" t="str">
        <x:v>Initial Owner</x:v>
      </x:c>
      <x:c r="E4" s="11" t="str">
        <x:v>Response Team</x:v>
      </x:c>
      <x:c r="F4" s="11" t="str">
        <x:v>Executive Escalation</x:v>
      </x:c>
      <x:c r="G4" s="11" t="str">
        <x:v>Target Ownership</x:v>
      </x:c>
      <x:c r="H4" s="11" t="str">
        <x:v>Update Cadence</x:v>
      </x:c>
      <x:c r="I4" s="11" t="str">
        <x:v>Immediate Action</x:v>
      </x:c>
      <x:c r="J4" s="11" t="str">
        <x:v>Public Communication</x:v>
      </x:c>
      <x:c r="K4" s="11" t="str">
        <x:v>Closure Requirement</x:v>
      </x:c>
      <x:c r="L4" s="11" t="str">
        <x:v>Gate</x:v>
      </x:c>
    </x:row>
    <x:row r="5">
      <x:c r="A5" s="16" t="str">
        <x:v>SEV-1</x:v>
      </x:c>
      <x:c r="B5" s="16" t="str">
        <x:v>Security breach, major outage, irreversible data risk</x:v>
      </x:c>
      <x:c r="C5" s="16" t="str">
        <x:v>Immediate</x:v>
      </x:c>
      <x:c r="D5" s="16" t="str">
        <x:v>Incident Commander</x:v>
      </x:c>
      <x:c r="E5" s="16" t="str">
        <x:v>Security Admin; System Admin</x:v>
      </x:c>
      <x:c r="F5" s="16" t="str">
        <x:v>Sponsor; DPO; Legal; Board</x:v>
      </x:c>
      <x:c r="G5" s="16" t="str">
        <x:v>15 min</x:v>
      </x:c>
      <x:c r="H5" s="16" t="str">
        <x:v>Continuous/30 min</x:v>
      </x:c>
      <x:c r="I5" s="16" t="str">
        <x:v>Service containment and evidence preservation</x:v>
      </x:c>
      <x:c r="J5" s="16" t="str">
        <x:v>No</x:v>
      </x:c>
      <x:c r="K5" s="16" t="str">
        <x:v>Post-incident review within 5 business days</x:v>
      </x:c>
      <x:c r="L5" s="16" t="str">
        <x:v>Mandatory</x:v>
      </x:c>
    </x:row>
    <x:row r="6">
      <x:c r="A6" s="17" t="str">
        <x:v>SEV-2</x:v>
      </x:c>
      <x:c r="B6" s="17" t="str">
        <x:v>Serious degradation, privacy incident, large verification error</x:v>
      </x:c>
      <x:c r="C6" s="17" t="str">
        <x:v>15 minutes</x:v>
      </x:c>
      <x:c r="D6" s="17" t="str">
        <x:v>Incident Commander / Operations</x:v>
      </x:c>
      <x:c r="E6" s="17" t="str">
        <x:v>Security; DPO; Product</x:v>
      </x:c>
      <x:c r="F6" s="17" t="str">
        <x:v>Sponsor; affected authorities</x:v>
      </x:c>
      <x:c r="G6" s="17" t="str">
        <x:v>30 min</x:v>
      </x:c>
      <x:c r="H6" s="17" t="str">
        <x:v>Hourly</x:v>
      </x:c>
      <x:c r="I6" s="17" t="str">
        <x:v>Contain impact and restore safely</x:v>
      </x:c>
      <x:c r="J6" s="17" t="str">
        <x:v>Restricted</x:v>
      </x:c>
      <x:c r="K6" s="17" t="str">
        <x:v>Review within 10 business days</x:v>
      </x:c>
      <x:c r="L6" s="17" t="str">
        <x:v>Mandatory</x:v>
      </x:c>
    </x:row>
    <x:row r="7">
      <x:c r="A7" s="17" t="str">
        <x:v>SEV-3</x:v>
      </x:c>
      <x:c r="B7" s="17" t="str">
        <x:v>Normal defect, local data issue, moderation escalation</x:v>
      </x:c>
      <x:c r="C7" s="17" t="str">
        <x:v>4 business hours</x:v>
      </x:c>
      <x:c r="D7" s="17" t="str">
        <x:v>Operations Lead</x:v>
      </x:c>
      <x:c r="E7" s="17" t="str">
        <x:v>Support/Engineering/Moderator</x:v>
      </x:c>
      <x:c r="F7" s="17" t="str">
        <x:v>Product or Branch Authority</x:v>
      </x:c>
      <x:c r="G7" s="17" t="str">
        <x:v>1 business day</x:v>
      </x:c>
      <x:c r="H7" s="17" t="str">
        <x:v>Daily</x:v>
      </x:c>
      <x:c r="I7" s="17" t="str">
        <x:v>Workaround and scheduled correction</x:v>
      </x:c>
      <x:c r="J7" s="17" t="str">
        <x:v>As needed</x:v>
      </x:c>
      <x:c r="K7" s="17" t="str">
        <x:v>Problem record if recurring</x:v>
      </x:c>
      <x:c r="L7" s="17" t="str">
        <x:v>Operational</x:v>
      </x:c>
    </x:row>
    <x:row r="8">
      <x:c r="A8" s="17" t="str">
        <x:v>CULTURAL</x:v>
      </x:c>
      <x:c r="B8" s="17" t="str">
        <x:v>Disputed terminology or ritual rule</x:v>
      </x:c>
      <x:c r="C8" s="17" t="str">
        <x:v>Before publication</x:v>
      </x:c>
      <x:c r="D8" s="17" t="str">
        <x:v>Cultural Reviewer</x:v>
      </x:c>
      <x:c r="E8" s="17" t="str">
        <x:v>Senior Community Authority</x:v>
      </x:c>
      <x:c r="F8" s="17" t="str">
        <x:v>Board if unresolved</x:v>
      </x:c>
      <x:c r="G8" s="17" t="str">
        <x:v>5 business days</x:v>
      </x:c>
      <x:c r="H8" s="17" t="str">
        <x:v>Weekly</x:v>
      </x:c>
      <x:c r="I8" s="17" t="str">
        <x:v>Keep unpublished/neutral fallback</x:v>
      </x:c>
      <x:c r="J8" s="17" t="str">
        <x:v>No</x:v>
      </x:c>
      <x:c r="K8" s="17" t="str">
        <x:v>Reasoned decision + version</x:v>
      </x:c>
      <x:c r="L8" s="17" t="str">
        <x:v>Mandatory</x:v>
      </x:c>
    </x:row>
    <x:row r="9">
      <x:c r="A9" s="17" t="str">
        <x:v>GENEALOGY</x:v>
      </x:c>
      <x:c r="B9" s="17" t="str">
        <x:v>Cross-branch lineage dispute or duplicate merge</x:v>
      </x:c>
      <x:c r="C9" s="17" t="str">
        <x:v>Before approval</x:v>
      </x:c>
      <x:c r="D9" s="17" t="str">
        <x:v>Central Genealogy Authority</x:v>
      </x:c>
      <x:c r="E9" s="17" t="str">
        <x:v>Independent panel</x:v>
      </x:c>
      <x:c r="F9" s="17" t="str">
        <x:v>Board/Legal/DPO</x:v>
      </x:c>
      <x:c r="G9" s="17" t="str">
        <x:v>5 business days</x:v>
      </x:c>
      <x:c r="H9" s="17" t="str">
        <x:v>Weekly</x:v>
      </x:c>
      <x:c r="I9" s="17" t="str">
        <x:v>Restrict contested record</x:v>
      </x:c>
      <x:c r="J9" s="17" t="str">
        <x:v>No</x:v>
      </x:c>
      <x:c r="K9" s="17" t="str">
        <x:v>Decision + rollback evidence</x:v>
      </x:c>
      <x:c r="L9" s="17" t="str">
        <x:v>Mandatory</x:v>
      </x:c>
    </x:row>
    <x:row r="10">
      <x:c r="A10" s="17" t="str">
        <x:v>PRIVACY</x:v>
      </x:c>
      <x:c r="B10" s="17" t="str">
        <x:v>Rights request, consent withdrawal, child-data issue</x:v>
      </x:c>
      <x:c r="C10" s="17" t="str">
        <x:v>Immediately route</x:v>
      </x:c>
      <x:c r="D10" s="17" t="str">
        <x:v>DPO</x:v>
      </x:c>
      <x:c r="E10" s="17" t="str">
        <x:v>Legal; Data owner</x:v>
      </x:c>
      <x:c r="F10" s="17" t="str">
        <x:v>Board if high risk</x:v>
      </x:c>
      <x:c r="G10" s="17" t="str">
        <x:v>1 business day</x:v>
      </x:c>
      <x:c r="H10" s="17" t="str">
        <x:v>Per legal/policy SLA</x:v>
      </x:c>
      <x:c r="I10" s="17" t="str">
        <x:v>Restrict processing as needed</x:v>
      </x:c>
      <x:c r="J10" s="17" t="str">
        <x:v>Restricted</x:v>
      </x:c>
      <x:c r="K10" s="17" t="str">
        <x:v>Case evidence and closure</x:v>
      </x:c>
      <x:c r="L10" s="17" t="str">
        <x:v>Mandatory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24" hidden="0" customWidth="1"/>
    <x:col min="4" max="4" width="27" hidden="0" customWidth="1"/>
    <x:col min="5" max="5" width="14" hidden="0" customWidth="1"/>
    <x:col min="6" max="6" width="26" hidden="0" customWidth="1"/>
    <x:col min="7" max="7" width="38" hidden="0" customWidth="1"/>
    <x:col min="8" max="8" width="34" hidden="0" customWidth="1"/>
    <x:col min="9" max="9" width="17" hidden="0" customWidth="1"/>
    <x:col min="10" max="10" width="17" hidden="0" customWidth="1"/>
    <x:col min="11" max="11" width="24" hidden="0" customWidth="1"/>
    <x:col min="12" max="12" width="24" hidden="0" customWidth="1"/>
    <x:col min="13" max="13" width="18" hidden="0" customWidth="1"/>
    <x:col min="14" max="14" width="18" hidden="0" customWidth="1"/>
    <x:col min="15" max="15" width="18" hidden="0" customWidth="1"/>
    <x:col min="16" max="16" width="24" hidden="0" customWidth="1"/>
    <x:col min="17" max="17" width="40" hidden="0" customWidth="1"/>
  </x:cols>
  <x:sheetData>
    <x:row r="1" ht="32" customHeight="1">
      <x:c r="A1" s="2" t="str">
        <x:v>Delegation, Privileged Access &amp; Break-Glass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5" t="str">
        <x:v>Every temporary authority is explicit, time-limited and auditable.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>
      <x:c r="A4" s="11" t="str">
        <x:v>Record ID*</x:v>
      </x:c>
      <x:c r="B4" s="11" t="str">
        <x:v>Record Type*</x:v>
      </x:c>
      <x:c r="C4" s="11" t="str">
        <x:v>From Appointment ID</x:v>
      </x:c>
      <x:c r="D4" s="11" t="str">
        <x:v>To Appointment / Person ID*</x:v>
      </x:c>
      <x:c r="E4" s="11" t="str">
        <x:v>Role ID*</x:v>
      </x:c>
      <x:c r="F4" s="11" t="str">
        <x:v>Branch / System Scope*</x:v>
      </x:c>
      <x:c r="G4" s="11" t="str">
        <x:v>Permissions Granted*</x:v>
      </x:c>
      <x:c r="H4" s="11" t="str">
        <x:v>Reason*</x:v>
      </x:c>
      <x:c r="I4" s="11" t="str">
        <x:v>Start*</x:v>
      </x:c>
      <x:c r="J4" s="11" t="str">
        <x:v>Expiry*</x:v>
      </x:c>
      <x:c r="K4" s="11" t="str">
        <x:v>Approved By 1*</x:v>
      </x:c>
      <x:c r="L4" s="11" t="str">
        <x:v>Approved By 2</x:v>
      </x:c>
      <x:c r="M4" s="11" t="str">
        <x:v>MFA Verified?*</x:v>
      </x:c>
      <x:c r="N4" s="11" t="str">
        <x:v>Status*</x:v>
      </x:c>
      <x:c r="O4" s="11" t="str">
        <x:v>Revoked At</x:v>
      </x:c>
      <x:c r="P4" s="11" t="str">
        <x:v>Incident / Evidence ID</x:v>
      </x:c>
      <x:c r="Q4" s="11" t="str">
        <x:v>Review Notes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</x:row>
  </x:sheetData>
  <x:mergeCells>
    <x:mergeCell ref="A1:Q1"/>
    <x:mergeCell ref="A2:Q2"/>
  </x:mergeCells>
  <x:dataValidations count="3">
    <x:dataValidation type="list" sqref="B5:B204">
      <x:formula1>"Delegation,Temporary privilege,Break-glass access,Service account custody"</x:formula1>
    </x:dataValidation>
    <x:dataValidation type="list" sqref="M5:M204">
      <x:formula1>"Yes,No,Pending"</x:formula1>
    </x:dataValidation>
    <x:dataValidation type="list" sqref="N5:N204">
      <x:formula1>"Proposed,Approved,Active,Expired,Revoked,Rejected"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2" t="str">
        <x:v>Governance Readiness Dashboard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Formula-driven status for role appointment and authority readiness.</x:v>
      </x:c>
      <x:c r="B2" s="5"/>
      <x:c r="C2" s="5"/>
      <x:c r="D2" s="5"/>
      <x:c r="E2" s="5"/>
      <x:c r="F2" s="5"/>
      <x:c r="G2" s="5"/>
      <x:c r="H2" s="5"/>
    </x:row>
    <x:row r="4">
      <x:c r="A4" s="11" t="str">
        <x:v>Readiness metric</x:v>
      </x:c>
      <x:c r="B4" s="11" t="str">
        <x:v>Count</x:v>
      </x:c>
      <x:c r="D4" s="11" t="str">
        <x:v>Production governance gate</x:v>
      </x:c>
      <x:c r="E4" s="11"/>
      <x:c r="F4" s="11"/>
      <x:c r="G4" s="11"/>
      <x:c r="H4" s="11"/>
    </x:row>
    <x:row r="5">
      <x:c r="A5" s="20" t="str">
        <x:v>Mandatory roles designed</x:v>
      </x:c>
      <x:c r="B5" s="26" t="n">
        <x:f>COUNTIF('Role Catalogue'!H5:H24,"Yes")</x:f>
        <x:v>18</x:v>
      </x:c>
      <x:c r="D5" s="32" t="str">
        <x:v>BLOCKED — NAMED APPOINTMENTS PENDING
Before launch: fill all mandatory roles, provide deputies for critical roles, staff each branch, verify identity/conflicts/training/MFA, approve scopes, test access controls and confirm escalation contacts.</x:v>
      </x:c>
      <x:c r="E5" s="32"/>
      <x:c r="F5" s="32"/>
      <x:c r="G5" s="32"/>
      <x:c r="H5" s="32"/>
    </x:row>
    <x:row r="6">
      <x:c r="A6" s="21" t="str">
        <x:v>Active named appointments</x:v>
      </x:c>
      <x:c r="B6" s="27" t="n">
        <x:f>COUNTIF('Appointment Register'!I5:I204,"Active")</x:f>
        <x:v>0</x:v>
      </x:c>
      <x:c r="D6" s="32"/>
      <x:c r="E6" s="32"/>
      <x:c r="F6" s="32"/>
      <x:c r="G6" s="32"/>
      <x:c r="H6" s="32"/>
    </x:row>
    <x:row r="7">
      <x:c r="A7" s="21" t="str">
        <x:v>Vacant appointments</x:v>
      </x:c>
      <x:c r="B7" s="27" t="n">
        <x:f>COUNTIF('Appointment Register'!I5:I204,"Vacant")</x:f>
        <x:v>0</x:v>
      </x:c>
      <x:c r="D7" s="32"/>
      <x:c r="E7" s="32"/>
      <x:c r="F7" s="32"/>
      <x:c r="G7" s="32"/>
      <x:c r="H7" s="32"/>
    </x:row>
    <x:row r="8">
      <x:c r="A8" s="21" t="str">
        <x:v>Fully staffed branches</x:v>
      </x:c>
      <x:c r="B8" s="27" t="n">
        <x:f>COUNTIF('Branch Authority Register'!L5:L204,"Fully staffed")</x:f>
        <x:v>0</x:v>
      </x:c>
      <x:c r="D8" s="32"/>
      <x:c r="E8" s="32"/>
      <x:c r="F8" s="32"/>
      <x:c r="G8" s="32"/>
      <x:c r="H8" s="32"/>
    </x:row>
    <x:row r="9">
      <x:c r="A9" s="21" t="str">
        <x:v>Partially staffed branches</x:v>
      </x:c>
      <x:c r="B9" s="27" t="n">
        <x:f>COUNTIF('Branch Authority Register'!L5:L204,"Partially staffed")</x:f>
        <x:v>0</x:v>
      </x:c>
      <x:c r="D9" s="32"/>
      <x:c r="E9" s="32"/>
      <x:c r="F9" s="32"/>
      <x:c r="G9" s="32"/>
      <x:c r="H9" s="32"/>
    </x:row>
    <x:row r="10">
      <x:c r="A10" s="21" t="str">
        <x:v>Critical/high coverage risks</x:v>
      </x:c>
      <x:c r="B10" s="27" t="n">
        <x:f>COUNTIF('Branch Authority Register'!O5:O204,"Critical")+COUNTIF('Branch Authority Register'!O5:O204,"High")</x:f>
        <x:v>0</x:v>
      </x:c>
      <x:c r="D10" s="32"/>
      <x:c r="E10" s="32"/>
      <x:c r="F10" s="32"/>
      <x:c r="G10" s="32"/>
      <x:c r="H10" s="32"/>
    </x:row>
    <x:row r="11">
      <x:c r="A11" s="21" t="str">
        <x:v>Active delegations</x:v>
      </x:c>
      <x:c r="B11" s="27" t="n">
        <x:f>COUNTIF('Delegations &amp; Access'!N5:N204,"Active")</x:f>
        <x:v>0</x:v>
      </x:c>
    </x:row>
    <x:row r="12">
      <x:c r="A12" s="21" t="str">
        <x:v>Open break-glass records</x:v>
      </x:c>
      <x:c r="B12" s="27" t="n">
        <x:f>COUNTIFS('Delegations &amp; Access'!B5:B204,"Break-glass access",'Delegations &amp; Access'!N5:N204,"Active")</x:f>
        <x:v>0</x:v>
      </x:c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