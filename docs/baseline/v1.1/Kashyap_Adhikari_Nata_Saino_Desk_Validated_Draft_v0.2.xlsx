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19f01b247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6a06fa2b1894b1e"/>
    <x:sheet xmlns:r="http://schemas.openxmlformats.org/officeDocument/2006/relationships" name="Nata Saino Catalogue" sheetId="2" r:id="Rf6db3170fbeb4b17"/>
    <x:sheet xmlns:r="http://schemas.openxmlformats.org/officeDocument/2006/relationships" name="Path Code Legend" sheetId="3" r:id="Red6e80544acb4caf"/>
    <x:sheet xmlns:r="http://schemas.openxmlformats.org/officeDocument/2006/relationships" name="Validation Test Cases" sheetId="4" r:id="R2e179f605fad4529"/>
    <x:sheet xmlns:r="http://schemas.openxmlformats.org/officeDocument/2006/relationships" name="Source Register" sheetId="5" r:id="Rcc45c1f7770f4f37"/>
    <x:sheet xmlns:r="http://schemas.openxmlformats.org/officeDocument/2006/relationships" name="Approval Log" sheetId="6" r:id="Rd7b6d8b8764d4311"/>
    <x:sheet xmlns:r="http://schemas.openxmlformats.org/officeDocument/2006/relationships" name="Review Dashboard" sheetId="7" r:id="Rb09d4d843793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4444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3"/>
      <x:color rgb="FF9C0006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6D7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7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7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5" xfId="0" applyNumberFormat="1" applyFont="1" applyFill="1" applyBorder="1" applyAlignment="1">
      <x:alignment vertical="top"/>
    </x:xf>
    <x:xf numFmtId="0" fontId="0" fillId="3" borderId="7" xfId="0" applyNumberFormat="1" applyFont="1" applyFill="1" applyBorder="1" applyAlignment="1">
      <x:alignment vertical="top"/>
    </x:xf>
    <x:xf numFmtId="0" fontId="0" fillId="3" borderId="8" xfId="0" applyNumberFormat="1" applyFont="1" applyFill="1" applyBorder="1" applyAlignment="1">
      <x:alignment vertical="top"/>
    </x:xf>
    <x:xf numFmtId="0" fontId="0" fillId="3" borderId="4" xfId="0" applyNumberFormat="1" applyFont="1" applyFill="1" applyBorder="1" applyAlignment="1">
      <x:alignment vertical="top"/>
    </x:xf>
    <x:xf numFmtId="0" fontId="0" fillId="3" borderId="6" xfId="0" applyNumberFormat="1" applyFont="1" applyFill="1" applyBorder="1" applyAlignment="1">
      <x:alignment vertical="top"/>
    </x:xf>
    <x:xf numFmtId="0" fontId="0" fillId="5" borderId="5" xfId="0" applyNumberFormat="1" applyFont="1" applyFill="1" applyBorder="1" applyAlignment="1">
      <x:alignment vertical="top"/>
    </x:xf>
    <x:xf numFmtId="0" fontId="0" fillId="5" borderId="8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5" borderId="8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horizontal="center" vertical="top"/>
    </x:xf>
    <x:xf numFmtId="0" fontId="4" fillId="5" borderId="8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ff93619354fb1" /><Relationship Type="http://schemas.openxmlformats.org/officeDocument/2006/relationships/theme" Target="/xl/theme/theme1.xml" Id="Ra7ac83ebb5804585" /><Relationship Type="http://schemas.openxmlformats.org/officeDocument/2006/relationships/sharedStrings" Target="/xl/sharedStrings.xml" Id="R200abfa5e4724fe7" /><Relationship Type="http://schemas.openxmlformats.org/officeDocument/2006/relationships/worksheet" Target="/xl/worksheets/sheet1.xml" Id="R46a06fa2b1894b1e" /><Relationship Type="http://schemas.openxmlformats.org/officeDocument/2006/relationships/worksheet" Target="/xl/worksheets/sheet2.xml" Id="Rf6db3170fbeb4b17" /><Relationship Type="http://schemas.openxmlformats.org/officeDocument/2006/relationships/worksheet" Target="/xl/worksheets/sheet3.xml" Id="Red6e80544acb4caf" /><Relationship Type="http://schemas.openxmlformats.org/officeDocument/2006/relationships/worksheet" Target="/xl/worksheets/sheet4.xml" Id="R2e179f605fad4529" /><Relationship Type="http://schemas.openxmlformats.org/officeDocument/2006/relationships/worksheet" Target="/xl/worksheets/sheet5.xml" Id="Rcc45c1f7770f4f37" /><Relationship Type="http://schemas.openxmlformats.org/officeDocument/2006/relationships/worksheet" Target="/xl/worksheets/sheet6.xml" Id="Rd7b6d8b8764d4311" /><Relationship Type="http://schemas.openxmlformats.org/officeDocument/2006/relationships/worksheet" Target="/xl/worksheets/sheet7.xml" Id="Rb09d4d843793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92" hidden="0" customWidth="1"/>
  </x:cols>
  <x:sheetData>
    <x:row r="1" ht="32" customHeight="1">
      <x:c r="A1" s="30" t="str">
        <x:v>Nata/Saino Rule Catalogue — Desk-Validated Draft</x:v>
      </x:c>
      <x:c r="B1" s="30"/>
      <x:c r="C1" s="30"/>
      <x:c r="D1" s="3"/>
      <x:c r="E1" s="3"/>
      <x:c r="F1" s="3"/>
      <x:c r="G1" s="3"/>
      <x:c r="H1" s="3"/>
    </x:row>
    <x:row r="2" ht="26" customHeight="1">
      <x:c r="A2" s="6" t="str">
        <x:v>Kashyap Gotra Adhikari Genealogy &amp; Community Platform | Working draft v0.2 | AI-assisted desk review 2026-09-08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Control</x:v>
      </x:c>
      <x:c r="B4" s="22" t="str">
        <x:v>Decision</x:v>
      </x:c>
      <x:c r="C4" s="23" t="str">
        <x:v>Implementation rule</x:v>
      </x:c>
    </x:row>
    <x:row r="5">
      <x:c r="A5" s="24" t="str">
        <x:v>Document status</x:v>
      </x:c>
      <x:c r="B5" s="25" t="str">
        <x:v>DESK-VALIDATED DRAFT — NOT CULTURALLY AUTHORITATIVE</x:v>
      </x:c>
      <x:c r="C5" s="26" t="str">
        <x:v>Terminology has received an AI-assisted linguistic/genealogical safety review. No term may be culturally published until two-person human approval is complete.</x:v>
      </x:c>
    </x:row>
    <x:row r="6">
      <x:c r="A6" s="24" t="str">
        <x:v>Purpose</x:v>
      </x:c>
      <x:c r="B6" s="25" t="str">
        <x:v>Validation catalogue</x:v>
      </x:c>
      <x:c r="C6" s="26" t="str">
        <x:v>Provides standard-Nepali candidate terms, unambiguous path codes, variants, reciprocal relationships, governance fields, and test cases.</x:v>
      </x:c>
    </x:row>
    <x:row r="7">
      <x:c r="A7" s="24" t="str">
        <x:v>Path direction</x:v>
      </x:c>
      <x:c r="B7" s="25" t="str">
        <x:v>Ego → relative</x:v>
      </x:c>
      <x:c r="C7" s="26" t="str">
        <x:v>Every path begins at the viewing person (E). Example: E-F-B(y) means the viewer's father's younger brother.</x:v>
      </x:c>
    </x:row>
    <x:row r="8">
      <x:c r="A8" s="24" t="str">
        <x:v>Publication gate</x:v>
      </x:c>
      <x:c r="B8" s="25" t="str">
        <x:v>Two-person approval</x:v>
      </x:c>
      <x:c r="C8" s="26" t="str">
        <x:v>Cultural Reviewer validates; a different Senior Community/Religious Authority final-approves. Self-approval is prohibited.</x:v>
      </x:c>
    </x:row>
    <x:row r="9">
      <x:c r="A9" s="24" t="str">
        <x:v>Evidence requirement</x:v>
      </x:c>
      <x:c r="B9" s="25" t="str">
        <x:v>Mandatory</x:v>
      </x:c>
      <x:c r="C9" s="26" t="str">
        <x:v>Each approved rule requires a source/evidence record and at least one example path. Research references are leads, not project authority.</x:v>
      </x:c>
    </x:row>
    <x:row r="10">
      <x:c r="A10" s="24" t="str">
        <x:v>Versioning</x:v>
      </x:c>
      <x:c r="B10" s="25" t="str">
        <x:v>Immutable history</x:v>
      </x:c>
      <x:c r="C10" s="26" t="str">
        <x:v>Changes create a new rule version with effective date and reason. Earlier versions remain available for audit, recalculation, notification, and rollback.</x:v>
      </x:c>
    </x:row>
    <x:row r="11">
      <x:c r="A11" s="24" t="str">
        <x:v>Multiple valid paths</x:v>
      </x:c>
      <x:c r="B11" s="25" t="str">
        <x:v>Primary + alternatives</x:v>
      </x:c>
      <x:c r="C11" s="26" t="str">
        <x:v>Display one approved primary term and expose other valid terms/paths with source and applicability.</x:v>
      </x:c>
    </x:row>
    <x:row r="12">
      <x:c r="A12" s="24" t="str">
        <x:v>Unsupported path</x:v>
      </x:c>
      <x:c r="B12" s="25" t="str">
        <x:v>Never guess</x:v>
      </x:c>
      <x:c r="C12" s="26" t="str">
        <x:v>Display the neutral relationship path and “Terminology awaiting approval.”</x:v>
      </x:c>
    </x:row>
    <x:row r="13">
      <x:c r="A13" s="24" t="str">
        <x:v>Non-biological links</x:v>
      </x:c>
      <x:c r="B13" s="25" t="str">
        <x:v>Explicitly distinguished</x:v>
      </x:c>
      <x:c r="C13" s="26" t="str">
        <x:v>Adoptive, step, half-sibling, guardian, remarriage, divorced/separated spouse, unknown-parentage, and disputed links must not be silently treated as biological.</x:v>
      </x:c>
    </x:row>
    <x:row r="14">
      <x:c r="A14" s="24" t="str">
        <x:v>Variant handling</x:v>
      </x:c>
      <x:c r="B14" s="25" t="str">
        <x:v>Separate fields</x:v>
      </x:c>
      <x:c r="C14" s="26" t="str">
        <x:v>Standard Nepali is primary. Regional, family, honorific, spelling, and community variants remain separately searchable.</x:v>
      </x:c>
    </x:row>
    <x:row r="15">
      <x:c r="A15" s="27" t="str">
        <x:v>Required next action</x:v>
      </x:c>
      <x:c r="B15" s="28" t="str">
        <x:v>Expert review</x:v>
      </x:c>
      <x:c r="C15" s="29" t="str">
        <x:v>Review every catalogue row; correct terminology/applicability; identify reviewer and final approver; attach evidence; then mark approval status.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31" hidden="0" customWidth="1"/>
    <x:col min="7" max="7" width="14" hidden="0" customWidth="1"/>
    <x:col min="8" max="8" width="16" hidden="0" customWidth="1"/>
    <x:col min="9" max="9" width="28" hidden="0" customWidth="1"/>
    <x:col min="10" max="10" width="22" hidden="0" customWidth="1"/>
    <x:col min="11" max="11" width="29" hidden="0" customWidth="1"/>
    <x:col min="12" max="12" width="24" hidden="0" customWidth="1"/>
    <x:col min="13" max="13" width="19" hidden="0" customWidth="1"/>
    <x:col min="14" max="14" width="34" hidden="0" customWidth="1"/>
    <x:col min="15" max="15" width="34" hidden="0" customWidth="1"/>
    <x:col min="16" max="16" width="19" hidden="0" customWidth="1"/>
    <x:col min="17" max="17" width="24" hidden="0" customWidth="1"/>
    <x:col min="18" max="18" width="24" hidden="0" customWidth="1"/>
    <x:col min="19" max="19" width="22" hidden="0" customWidth="1"/>
    <x:col min="20" max="20" width="22" hidden="0" customWidth="1"/>
    <x:col min="21" max="21" width="12" hidden="0" customWidth="1"/>
    <x:col min="22" max="22" width="15" hidden="0" customWidth="1"/>
    <x:col min="23" max="23" width="36" hidden="0" customWidth="1"/>
    <x:col min="24" max="24" width="38" hidden="0" customWidth="1"/>
    <x:col min="25" max="25" width="13" hidden="0" customWidth="1"/>
    <x:col min="26" max="26" width="42" hidden="0" customWidth="1"/>
  </x:cols>
  <x:sheetData>
    <x:row r="1" ht="32" customHeight="1">
      <x:c r="A1" s="30" t="str">
        <x:v>Nata/Saino Candidate Rule Catalogue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 ht="26" customHeight="1">
      <x:c r="A2" s="6" t="str">
        <x:v>AI-assisted desk validation v0.2 completed; cultural authority approval remains mandatory.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4">
      <x:c r="A4" s="21" t="str">
        <x:v>Rule ID</x:v>
      </x:c>
      <x:c r="B4" s="22" t="str">
        <x:v>Category</x:v>
      </x:c>
      <x:c r="C4" s="22" t="str">
        <x:v>Generation Offset</x:v>
      </x:c>
      <x:c r="D4" s="22" t="str">
        <x:v>Side/Line</x:v>
      </x:c>
      <x:c r="E4" s="22" t="str">
        <x:v>Path Code</x:v>
      </x:c>
      <x:c r="F4" s="22" t="str">
        <x:v>Relationship from Ego</x:v>
      </x:c>
      <x:c r="G4" s="22" t="str">
        <x:v>Person Gender</x:v>
      </x:c>
      <x:c r="H4" s="22" t="str">
        <x:v>Relative Age</x:v>
      </x:c>
      <x:c r="I4" s="22" t="str">
        <x:v>Primary Nepali Term</x:v>
      </x:c>
      <x:c r="J4" s="22" t="str">
        <x:v>Romanization</x:v>
      </x:c>
      <x:c r="K4" s="22" t="str">
        <x:v>English Label</x:v>
      </x:c>
      <x:c r="L4" s="22" t="str">
        <x:v>Reciprocal Term</x:v>
      </x:c>
      <x:c r="M4" s="22" t="str">
        <x:v>Relationship Type</x:v>
      </x:c>
      <x:c r="N4" s="22" t="str">
        <x:v>Applicability / UI Rule</x:v>
      </x:c>
      <x:c r="O4" s="22" t="str">
        <x:v>Variant Terms</x:v>
      </x:c>
      <x:c r="P4" s="22" t="str">
        <x:v>Research Source ID</x:v>
      </x:c>
      <x:c r="Q4" s="22" t="str">
        <x:v>Evidence Status</x:v>
      </x:c>
      <x:c r="R4" s="22" t="str">
        <x:v>Validation Status</x:v>
      </x:c>
      <x:c r="S4" s="22" t="str">
        <x:v>Cultural Reviewer</x:v>
      </x:c>
      <x:c r="T4" s="22" t="str">
        <x:v>Final Approver</x:v>
      </x:c>
      <x:c r="U4" s="22" t="str">
        <x:v>Rule Version</x:v>
      </x:c>
      <x:c r="V4" s="22" t="str">
        <x:v>Effective Date</x:v>
      </x:c>
      <x:c r="W4" s="22" t="str">
        <x:v>Validation Notes</x:v>
      </x:c>
      <x:c r="X4" s="22" t="str">
        <x:v>Desk Review Outcome</x:v>
      </x:c>
      <x:c r="Y4" s="22" t="str">
        <x:v>Confidence</x:v>
      </x:c>
      <x:c r="Z4" s="22" t="str">
        <x:v>Automation Disposition</x:v>
      </x:c>
      <x:c r="AA4" s="23" t="str">
        <x:v>Required Human Validation</x:v>
      </x:c>
    </x:row>
    <x:row r="5">
      <x:c r="A5" s="24" t="str">
        <x:v>NS-001</x:v>
      </x:c>
      <x:c r="B5" s="25" t="str">
        <x:v>Immediate</x:v>
      </x:c>
      <x:c r="C5" s="25" t="str">
        <x:v>0</x:v>
      </x:c>
      <x:c r="D5" s="25" t="str">
        <x:v>Self</x:v>
      </x:c>
      <x:c r="E5" s="25" t="str">
        <x:v>E</x:v>
      </x:c>
      <x:c r="F5" s="25" t="str">
        <x:v>Self</x:v>
      </x:c>
      <x:c r="G5" s="25" t="str">
        <x:v>Any</x:v>
      </x:c>
      <x:c r="H5" s="25" t="str">
        <x:v>N/A</x:v>
      </x:c>
      <x:c r="I5" s="25" t="str">
        <x:v>आफू</x:v>
      </x:c>
      <x:c r="J5" s="25" t="str">
        <x:v>aafu</x:v>
      </x:c>
      <x:c r="K5" s="25" t="str">
        <x:v>Self</x:v>
      </x:c>
      <x:c r="L5" s="25" t="str">
        <x:v>N/A</x:v>
      </x:c>
      <x:c r="M5" s="25" t="str">
        <x:v>Biological/identity</x:v>
      </x:c>
      <x:c r="N5" s="25" t="str">
        <x:v>All</x:v>
      </x:c>
      <x:c r="O5" s="25" t="str">
        <x:v>स्वयं</x:v>
      </x:c>
      <x:c r="P5" s="25" t="str">
        <x:v>SRC-001; SRC-002</x:v>
      </x:c>
      <x:c r="Q5" s="31" t="str">
        <x:v>Academic support; community authority missing</x:v>
      </x:c>
      <x:c r="R5" s="33" t="str">
        <x:v>Expert validation required</x:v>
      </x:c>
      <x:c r="S5" s="31" t="str"/>
      <x:c r="T5" s="31" t="str"/>
      <x:c r="U5" s="25" t="str">
        <x:v>0.2</x:v>
      </x:c>
      <x:c r="V5" s="31" t="str"/>
      <x:c r="W5" s="31" t="str">
        <x:v>AI desk review only; not a cultural approval</x:v>
      </x:c>
      <x:c r="X5" s="35" t="str">
        <x:v>Supported as common Standard Nepali candidate</x:v>
      </x:c>
      <x:c r="Y5" s="35" t="str">
        <x:v>High</x:v>
      </x:c>
      <x:c r="Z5" s="35" t="str">
        <x:v>Implement only behind approval gate</x:v>
      </x:c>
      <x:c r="AA5" s="36" t="str">
        <x:v>Adhikari cultural reviewer + separate senior final approver</x:v>
      </x:c>
    </x:row>
    <x:row r="6">
      <x:c r="A6" s="24" t="str">
        <x:v>NS-002</x:v>
      </x:c>
      <x:c r="B6" s="25" t="str">
        <x:v>Parent</x:v>
      </x:c>
      <x:c r="C6" s="25" t="str">
        <x:v>+1</x:v>
      </x:c>
      <x:c r="D6" s="25" t="str">
        <x:v>Paternal</x:v>
      </x:c>
      <x:c r="E6" s="25" t="str">
        <x:v>E-F</x:v>
      </x:c>
      <x:c r="F6" s="25" t="str">
        <x:v>Father</x:v>
      </x:c>
      <x:c r="G6" s="25" t="str">
        <x:v>Male</x:v>
      </x:c>
      <x:c r="H6" s="25" t="str">
        <x:v>N/A</x:v>
      </x:c>
      <x:c r="I6" s="25" t="str">
        <x:v>बुबा</x:v>
      </x:c>
      <x:c r="J6" s="25" t="str">
        <x:v>bubā</x:v>
      </x:c>
      <x:c r="K6" s="25" t="str">
        <x:v>Father</x:v>
      </x:c>
      <x:c r="L6" s="25" t="str">
        <x:v>छोरा/छोरी</x:v>
      </x:c>
      <x:c r="M6" s="25" t="str">
        <x:v>Biological</x:v>
      </x:c>
      <x:c r="N6" s="25" t="str">
        <x:v>All</x:v>
      </x:c>
      <x:c r="O6" s="25" t="str">
        <x:v>बुवा; पिता</x:v>
      </x:c>
      <x:c r="P6" s="25" t="str">
        <x:v>SRC-001; SRC-002</x:v>
      </x:c>
      <x:c r="Q6" s="31" t="str">
        <x:v>Academic support; community authority missing</x:v>
      </x:c>
      <x:c r="R6" s="33" t="str">
        <x:v>Expert validation required</x:v>
      </x:c>
      <x:c r="S6" s="31" t="str"/>
      <x:c r="T6" s="31" t="str"/>
      <x:c r="U6" s="25" t="str">
        <x:v>0.2</x:v>
      </x:c>
      <x:c r="V6" s="31" t="str"/>
      <x:c r="W6" s="31" t="str">
        <x:v>AI desk review only; not a cultural approval</x:v>
      </x:c>
      <x:c r="X6" s="35" t="str">
        <x:v>Supported as common Standard Nepali candidate</x:v>
      </x:c>
      <x:c r="Y6" s="35" t="str">
        <x:v>High</x:v>
      </x:c>
      <x:c r="Z6" s="35" t="str">
        <x:v>Implement only behind approval gate</x:v>
      </x:c>
      <x:c r="AA6" s="36" t="str">
        <x:v>Adhikari cultural reviewer + separate senior final approver</x:v>
      </x:c>
    </x:row>
    <x:row r="7">
      <x:c r="A7" s="24" t="str">
        <x:v>NS-003</x:v>
      </x:c>
      <x:c r="B7" s="25" t="str">
        <x:v>Parent</x:v>
      </x:c>
      <x:c r="C7" s="25" t="str">
        <x:v>+1</x:v>
      </x:c>
      <x:c r="D7" s="25" t="str">
        <x:v>Maternal</x:v>
      </x:c>
      <x:c r="E7" s="25" t="str">
        <x:v>E-M</x:v>
      </x:c>
      <x:c r="F7" s="25" t="str">
        <x:v>Mother</x:v>
      </x:c>
      <x:c r="G7" s="25" t="str">
        <x:v>Female</x:v>
      </x:c>
      <x:c r="H7" s="25" t="str">
        <x:v>N/A</x:v>
      </x:c>
      <x:c r="I7" s="25" t="str">
        <x:v>आमा</x:v>
      </x:c>
      <x:c r="J7" s="25" t="str">
        <x:v>āmā</x:v>
      </x:c>
      <x:c r="K7" s="25" t="str">
        <x:v>Mother</x:v>
      </x:c>
      <x:c r="L7" s="25" t="str">
        <x:v>छोरा/छोरी</x:v>
      </x:c>
      <x:c r="M7" s="25" t="str">
        <x:v>Biological</x:v>
      </x:c>
      <x:c r="N7" s="25" t="str">
        <x:v>All</x:v>
      </x:c>
      <x:c r="O7" s="25" t="str">
        <x:v>माता</x:v>
      </x:c>
      <x:c r="P7" s="25" t="str">
        <x:v>SRC-001; SRC-002</x:v>
      </x:c>
      <x:c r="Q7" s="31" t="str">
        <x:v>Academic support; community authority missing</x:v>
      </x:c>
      <x:c r="R7" s="33" t="str">
        <x:v>Expert validation required</x:v>
      </x:c>
      <x:c r="S7" s="31" t="str"/>
      <x:c r="T7" s="31" t="str"/>
      <x:c r="U7" s="25" t="str">
        <x:v>0.2</x:v>
      </x:c>
      <x:c r="V7" s="31" t="str"/>
      <x:c r="W7" s="31" t="str">
        <x:v>AI desk review only; not a cultural approval</x:v>
      </x:c>
      <x:c r="X7" s="35" t="str">
        <x:v>Supported as common Standard Nepali candidate</x:v>
      </x:c>
      <x:c r="Y7" s="35" t="str">
        <x:v>High</x:v>
      </x:c>
      <x:c r="Z7" s="35" t="str">
        <x:v>Implement only behind approval gate</x:v>
      </x:c>
      <x:c r="AA7" s="36" t="str">
        <x:v>Adhikari cultural reviewer + separate senior final approver</x:v>
      </x:c>
    </x:row>
    <x:row r="8">
      <x:c r="A8" s="24" t="str">
        <x:v>NS-004</x:v>
      </x:c>
      <x:c r="B8" s="25" t="str">
        <x:v>Sibling</x:v>
      </x:c>
      <x:c r="C8" s="25" t="str">
        <x:v>0</x:v>
      </x:c>
      <x:c r="D8" s="25" t="str">
        <x:v>Shared parent</x:v>
      </x:c>
      <x:c r="E8" s="25" t="str">
        <x:v>E-B(o)</x:v>
      </x:c>
      <x:c r="F8" s="25" t="str">
        <x:v>Older brother</x:v>
      </x:c>
      <x:c r="G8" s="25" t="str">
        <x:v>Male</x:v>
      </x:c>
      <x:c r="H8" s="25" t="str">
        <x:v>Older</x:v>
      </x:c>
      <x:c r="I8" s="25" t="str">
        <x:v>दाजु</x:v>
      </x:c>
      <x:c r="J8" s="25" t="str">
        <x:v>dāju</x:v>
      </x:c>
      <x:c r="K8" s="25" t="str">
        <x:v>Older brother</x:v>
      </x:c>
      <x:c r="L8" s="25" t="str">
        <x:v>भाइ/बहिनी</x:v>
      </x:c>
      <x:c r="M8" s="25" t="str">
        <x:v>Biological</x:v>
      </x:c>
      <x:c r="N8" s="25" t="str">
        <x:v>All</x:v>
      </x:c>
      <x:c r="O8" s="25" t="str">
        <x:v>दाइ</x:v>
      </x:c>
      <x:c r="P8" s="25" t="str">
        <x:v>SRC-001; SRC-002</x:v>
      </x:c>
      <x:c r="Q8" s="31" t="str">
        <x:v>Academic support; community authority missing</x:v>
      </x:c>
      <x:c r="R8" s="33" t="str">
        <x:v>Expert validation required</x:v>
      </x:c>
      <x:c r="S8" s="31" t="str"/>
      <x:c r="T8" s="31" t="str"/>
      <x:c r="U8" s="25" t="str">
        <x:v>0.2</x:v>
      </x:c>
      <x:c r="V8" s="31" t="str"/>
      <x:c r="W8" s="31" t="str">
        <x:v>AI desk review only; not a cultural approval</x:v>
      </x:c>
      <x:c r="X8" s="35" t="str">
        <x:v>Supported as common Standard Nepali candidate</x:v>
      </x:c>
      <x:c r="Y8" s="35" t="str">
        <x:v>High</x:v>
      </x:c>
      <x:c r="Z8" s="35" t="str">
        <x:v>Implement only behind approval gate</x:v>
      </x:c>
      <x:c r="AA8" s="36" t="str">
        <x:v>Adhikari cultural reviewer + separate senior final approver</x:v>
      </x:c>
    </x:row>
    <x:row r="9">
      <x:c r="A9" s="24" t="str">
        <x:v>NS-005</x:v>
      </x:c>
      <x:c r="B9" s="25" t="str">
        <x:v>Sibling</x:v>
      </x:c>
      <x:c r="C9" s="25" t="str">
        <x:v>0</x:v>
      </x:c>
      <x:c r="D9" s="25" t="str">
        <x:v>Shared parent</x:v>
      </x:c>
      <x:c r="E9" s="25" t="str">
        <x:v>E-B(y)</x:v>
      </x:c>
      <x:c r="F9" s="25" t="str">
        <x:v>Younger brother</x:v>
      </x:c>
      <x:c r="G9" s="25" t="str">
        <x:v>Male</x:v>
      </x:c>
      <x:c r="H9" s="25" t="str">
        <x:v>Younger</x:v>
      </x:c>
      <x:c r="I9" s="25" t="str">
        <x:v>भाइ</x:v>
      </x:c>
      <x:c r="J9" s="25" t="str">
        <x:v>bhāi</x:v>
      </x:c>
      <x:c r="K9" s="25" t="str">
        <x:v>Younger brother</x:v>
      </x:c>
      <x:c r="L9" s="25" t="str">
        <x:v>दाजु/दिदी</x:v>
      </x:c>
      <x:c r="M9" s="25" t="str">
        <x:v>Biological</x:v>
      </x:c>
      <x:c r="N9" s="25" t="str">
        <x:v>All</x:v>
      </x:c>
      <x:c r="O9" s="25" t="str">
        <x:v>कान्छो भाइ</x:v>
      </x:c>
      <x:c r="P9" s="25" t="str">
        <x:v>SRC-001; SRC-002</x:v>
      </x:c>
      <x:c r="Q9" s="31" t="str">
        <x:v>Academic support; community authority missing</x:v>
      </x:c>
      <x:c r="R9" s="33" t="str">
        <x:v>Expert validation required</x:v>
      </x:c>
      <x:c r="S9" s="31" t="str"/>
      <x:c r="T9" s="31" t="str"/>
      <x:c r="U9" s="25" t="str">
        <x:v>0.2</x:v>
      </x:c>
      <x:c r="V9" s="31" t="str"/>
      <x:c r="W9" s="31" t="str">
        <x:v>AI desk review only; not a cultural approval</x:v>
      </x:c>
      <x:c r="X9" s="35" t="str">
        <x:v>Supported as common Standard Nepali candidate</x:v>
      </x:c>
      <x:c r="Y9" s="35" t="str">
        <x:v>High</x:v>
      </x:c>
      <x:c r="Z9" s="35" t="str">
        <x:v>Implement only behind approval gate</x:v>
      </x:c>
      <x:c r="AA9" s="36" t="str">
        <x:v>Adhikari cultural reviewer + separate senior final approver</x:v>
      </x:c>
    </x:row>
    <x:row r="10">
      <x:c r="A10" s="24" t="str">
        <x:v>NS-006</x:v>
      </x:c>
      <x:c r="B10" s="25" t="str">
        <x:v>Sibling</x:v>
      </x:c>
      <x:c r="C10" s="25" t="str">
        <x:v>0</x:v>
      </x:c>
      <x:c r="D10" s="25" t="str">
        <x:v>Shared parent</x:v>
      </x:c>
      <x:c r="E10" s="25" t="str">
        <x:v>E-Z(o)</x:v>
      </x:c>
      <x:c r="F10" s="25" t="str">
        <x:v>Older sister</x:v>
      </x:c>
      <x:c r="G10" s="25" t="str">
        <x:v>Female</x:v>
      </x:c>
      <x:c r="H10" s="25" t="str">
        <x:v>Older</x:v>
      </x:c>
      <x:c r="I10" s="25" t="str">
        <x:v>दिदी</x:v>
      </x:c>
      <x:c r="J10" s="25" t="str">
        <x:v>didī</x:v>
      </x:c>
      <x:c r="K10" s="25" t="str">
        <x:v>Older sister</x:v>
      </x:c>
      <x:c r="L10" s="25" t="str">
        <x:v>भाइ/बहिनी</x:v>
      </x:c>
      <x:c r="M10" s="25" t="str">
        <x:v>Biological</x:v>
      </x:c>
      <x:c r="N10" s="25" t="str">
        <x:v>All</x:v>
      </x:c>
      <x:c r="O10" s="25" t="str">
        <x:v>दिदीबहिनी (collective)</x:v>
      </x:c>
      <x:c r="P10" s="25" t="str">
        <x:v>SRC-001; SRC-002</x:v>
      </x:c>
      <x:c r="Q10" s="31" t="str">
        <x:v>Academic support; community authority missing</x:v>
      </x:c>
      <x:c r="R10" s="33" t="str">
        <x:v>Expert validation required</x:v>
      </x:c>
      <x:c r="S10" s="31" t="str"/>
      <x:c r="T10" s="31" t="str"/>
      <x:c r="U10" s="25" t="str">
        <x:v>0.2</x:v>
      </x:c>
      <x:c r="V10" s="31" t="str"/>
      <x:c r="W10" s="31" t="str">
        <x:v>AI desk review only; not a cultural approval</x:v>
      </x:c>
      <x:c r="X10" s="35" t="str">
        <x:v>Supported as common Standard Nepali candidate</x:v>
      </x:c>
      <x:c r="Y10" s="35" t="str">
        <x:v>High</x:v>
      </x:c>
      <x:c r="Z10" s="35" t="str">
        <x:v>Implement only behind approval gate</x:v>
      </x:c>
      <x:c r="AA10" s="36" t="str">
        <x:v>Adhikari cultural reviewer + separate senior final approver</x:v>
      </x:c>
    </x:row>
    <x:row r="11">
      <x:c r="A11" s="24" t="str">
        <x:v>NS-007</x:v>
      </x:c>
      <x:c r="B11" s="25" t="str">
        <x:v>Sibling</x:v>
      </x:c>
      <x:c r="C11" s="25" t="str">
        <x:v>0</x:v>
      </x:c>
      <x:c r="D11" s="25" t="str">
        <x:v>Shared parent</x:v>
      </x:c>
      <x:c r="E11" s="25" t="str">
        <x:v>E-Z(y)</x:v>
      </x:c>
      <x:c r="F11" s="25" t="str">
        <x:v>Younger sister</x:v>
      </x:c>
      <x:c r="G11" s="25" t="str">
        <x:v>Female</x:v>
      </x:c>
      <x:c r="H11" s="25" t="str">
        <x:v>Younger</x:v>
      </x:c>
      <x:c r="I11" s="25" t="str">
        <x:v>बहिनी</x:v>
      </x:c>
      <x:c r="J11" s="25" t="str">
        <x:v>bahinī</x:v>
      </x:c>
      <x:c r="K11" s="25" t="str">
        <x:v>Younger sister</x:v>
      </x:c>
      <x:c r="L11" s="25" t="str">
        <x:v>दाजु/दिदी</x:v>
      </x:c>
      <x:c r="M11" s="25" t="str">
        <x:v>Biological</x:v>
      </x:c>
      <x:c r="N11" s="25" t="str">
        <x:v>All</x:v>
      </x:c>
      <x:c r="O11" s="25" t="str">
        <x:v>कान्छी बहिनी</x:v>
      </x:c>
      <x:c r="P11" s="25" t="str">
        <x:v>SRC-001; SRC-002</x:v>
      </x:c>
      <x:c r="Q11" s="31" t="str">
        <x:v>Academic support; community authority missing</x:v>
      </x:c>
      <x:c r="R11" s="33" t="str">
        <x:v>Expert validation required</x:v>
      </x:c>
      <x:c r="S11" s="31" t="str"/>
      <x:c r="T11" s="31" t="str"/>
      <x:c r="U11" s="25" t="str">
        <x:v>0.2</x:v>
      </x:c>
      <x:c r="V11" s="31" t="str"/>
      <x:c r="W11" s="31" t="str">
        <x:v>AI desk review only; not a cultural approval</x:v>
      </x:c>
      <x:c r="X11" s="35" t="str">
        <x:v>Supported as common Standard Nepali candidate</x:v>
      </x:c>
      <x:c r="Y11" s="35" t="str">
        <x:v>High</x:v>
      </x:c>
      <x:c r="Z11" s="35" t="str">
        <x:v>Implement only behind approval gate</x:v>
      </x:c>
      <x:c r="AA11" s="36" t="str">
        <x:v>Adhikari cultural reviewer + separate senior final approver</x:v>
      </x:c>
    </x:row>
    <x:row r="12">
      <x:c r="A12" s="24" t="str">
        <x:v>NS-008</x:v>
      </x:c>
      <x:c r="B12" s="25" t="str">
        <x:v>Spouse</x:v>
      </x:c>
      <x:c r="C12" s="25" t="str">
        <x:v>0</x:v>
      </x:c>
      <x:c r="D12" s="25" t="str">
        <x:v>Marriage</x:v>
      </x:c>
      <x:c r="E12" s="25" t="str">
        <x:v>E-H</x:v>
      </x:c>
      <x:c r="F12" s="25" t="str">
        <x:v>Husband</x:v>
      </x:c>
      <x:c r="G12" s="25" t="str">
        <x:v>Male</x:v>
      </x:c>
      <x:c r="H12" s="25" t="str">
        <x:v>N/A</x:v>
      </x:c>
      <x:c r="I12" s="25" t="str">
        <x:v>श्रीमान्</x:v>
      </x:c>
      <x:c r="J12" s="25" t="str">
        <x:v>shrīmān</x:v>
      </x:c>
      <x:c r="K12" s="25" t="str">
        <x:v>Husband</x:v>
      </x:c>
      <x:c r="L12" s="25" t="str">
        <x:v>श्रीमती</x:v>
      </x:c>
      <x:c r="M12" s="25" t="str">
        <x:v>Marriage</x:v>
      </x:c>
      <x:c r="N12" s="25" t="str">
        <x:v>Formal UI</x:v>
      </x:c>
      <x:c r="O12" s="25" t="str">
        <x:v>पति</x:v>
      </x:c>
      <x:c r="P12" s="25" t="str">
        <x:v>SRC-001; SRC-002</x:v>
      </x:c>
      <x:c r="Q12" s="31" t="str">
        <x:v>Academic support; community authority missing</x:v>
      </x:c>
      <x:c r="R12" s="33" t="str">
        <x:v>Expert validation required</x:v>
      </x:c>
      <x:c r="S12" s="31" t="str"/>
      <x:c r="T12" s="31" t="str"/>
      <x:c r="U12" s="25" t="str">
        <x:v>0.2</x:v>
      </x:c>
      <x:c r="V12" s="31" t="str"/>
      <x:c r="W12" s="31" t="str">
        <x:v>AI desk review only; not a cultural approval</x:v>
      </x:c>
      <x:c r="X12" s="35" t="str">
        <x:v>Supported as common Standard Nepali candidate</x:v>
      </x:c>
      <x:c r="Y12" s="35" t="str">
        <x:v>High</x:v>
      </x:c>
      <x:c r="Z12" s="35" t="str">
        <x:v>Implement only behind approval gate</x:v>
      </x:c>
      <x:c r="AA12" s="36" t="str">
        <x:v>Adhikari cultural reviewer + separate senior final approver</x:v>
      </x:c>
    </x:row>
    <x:row r="13">
      <x:c r="A13" s="24" t="str">
        <x:v>NS-009</x:v>
      </x:c>
      <x:c r="B13" s="25" t="str">
        <x:v>Spouse</x:v>
      </x:c>
      <x:c r="C13" s="25" t="str">
        <x:v>0</x:v>
      </x:c>
      <x:c r="D13" s="25" t="str">
        <x:v>Marriage</x:v>
      </x:c>
      <x:c r="E13" s="25" t="str">
        <x:v>E-W</x:v>
      </x:c>
      <x:c r="F13" s="25" t="str">
        <x:v>Wife</x:v>
      </x:c>
      <x:c r="G13" s="25" t="str">
        <x:v>Female</x:v>
      </x:c>
      <x:c r="H13" s="25" t="str">
        <x:v>N/A</x:v>
      </x:c>
      <x:c r="I13" s="25" t="str">
        <x:v>श्रीमती</x:v>
      </x:c>
      <x:c r="J13" s="25" t="str">
        <x:v>shrīmatī</x:v>
      </x:c>
      <x:c r="K13" s="25" t="str">
        <x:v>Wife</x:v>
      </x:c>
      <x:c r="L13" s="25" t="str">
        <x:v>श्रीमान्</x:v>
      </x:c>
      <x:c r="M13" s="25" t="str">
        <x:v>Marriage</x:v>
      </x:c>
      <x:c r="N13" s="25" t="str">
        <x:v>Formal UI</x:v>
      </x:c>
      <x:c r="O13" s="25" t="str">
        <x:v>पत्नी</x:v>
      </x:c>
      <x:c r="P13" s="25" t="str">
        <x:v>SRC-001; SRC-002</x:v>
      </x:c>
      <x:c r="Q13" s="31" t="str">
        <x:v>Academic support; community authority missing</x:v>
      </x:c>
      <x:c r="R13" s="33" t="str">
        <x:v>Expert validation required</x:v>
      </x:c>
      <x:c r="S13" s="31" t="str"/>
      <x:c r="T13" s="31" t="str"/>
      <x:c r="U13" s="25" t="str">
        <x:v>0.2</x:v>
      </x:c>
      <x:c r="V13" s="31" t="str"/>
      <x:c r="W13" s="31" t="str">
        <x:v>AI desk review only; not a cultural approval</x:v>
      </x:c>
      <x:c r="X13" s="35" t="str">
        <x:v>Supported as common Standard Nepali candidate</x:v>
      </x:c>
      <x:c r="Y13" s="35" t="str">
        <x:v>High</x:v>
      </x:c>
      <x:c r="Z13" s="35" t="str">
        <x:v>Implement only behind approval gate</x:v>
      </x:c>
      <x:c r="AA13" s="36" t="str">
        <x:v>Adhikari cultural reviewer + separate senior final approver</x:v>
      </x:c>
    </x:row>
    <x:row r="14">
      <x:c r="A14" s="24" t="str">
        <x:v>NS-010</x:v>
      </x:c>
      <x:c r="B14" s="25" t="str">
        <x:v>Child</x:v>
      </x:c>
      <x:c r="C14" s="25" t="str">
        <x:v>-1</x:v>
      </x:c>
      <x:c r="D14" s="25" t="str">
        <x:v>Descendant</x:v>
      </x:c>
      <x:c r="E14" s="25" t="str">
        <x:v>E-S</x:v>
      </x:c>
      <x:c r="F14" s="25" t="str">
        <x:v>Son</x:v>
      </x:c>
      <x:c r="G14" s="25" t="str">
        <x:v>Male</x:v>
      </x:c>
      <x:c r="H14" s="25" t="str">
        <x:v>N/A</x:v>
      </x:c>
      <x:c r="I14" s="25" t="str">
        <x:v>छोरा</x:v>
      </x:c>
      <x:c r="J14" s="25" t="str">
        <x:v>chorā</x:v>
      </x:c>
      <x:c r="K14" s="25" t="str">
        <x:v>Son</x:v>
      </x:c>
      <x:c r="L14" s="25" t="str">
        <x:v>बुबा/आमा</x:v>
      </x:c>
      <x:c r="M14" s="25" t="str">
        <x:v>Biological</x:v>
      </x:c>
      <x:c r="N14" s="25" t="str">
        <x:v>All</x:v>
      </x:c>
      <x:c r="O14" s="25" t="str">
        <x:v>पुत्र</x:v>
      </x:c>
      <x:c r="P14" s="25" t="str">
        <x:v>SRC-001; SRC-002</x:v>
      </x:c>
      <x:c r="Q14" s="31" t="str">
        <x:v>Academic support; community authority missing</x:v>
      </x:c>
      <x:c r="R14" s="33" t="str">
        <x:v>Expert validation required</x:v>
      </x:c>
      <x:c r="S14" s="31" t="str"/>
      <x:c r="T14" s="31" t="str"/>
      <x:c r="U14" s="25" t="str">
        <x:v>0.2</x:v>
      </x:c>
      <x:c r="V14" s="31" t="str"/>
      <x:c r="W14" s="31" t="str">
        <x:v>AI desk review only; not a cultural approval</x:v>
      </x:c>
      <x:c r="X14" s="35" t="str">
        <x:v>Supported as common Standard Nepali candidate</x:v>
      </x:c>
      <x:c r="Y14" s="35" t="str">
        <x:v>High</x:v>
      </x:c>
      <x:c r="Z14" s="35" t="str">
        <x:v>Implement only behind approval gate</x:v>
      </x:c>
      <x:c r="AA14" s="36" t="str">
        <x:v>Adhikari cultural reviewer + separate senior final approver</x:v>
      </x:c>
    </x:row>
    <x:row r="15">
      <x:c r="A15" s="24" t="str">
        <x:v>NS-011</x:v>
      </x:c>
      <x:c r="B15" s="25" t="str">
        <x:v>Child</x:v>
      </x:c>
      <x:c r="C15" s="25" t="str">
        <x:v>-1</x:v>
      </x:c>
      <x:c r="D15" s="25" t="str">
        <x:v>Descendant</x:v>
      </x:c>
      <x:c r="E15" s="25" t="str">
        <x:v>E-D</x:v>
      </x:c>
      <x:c r="F15" s="25" t="str">
        <x:v>Daughter</x:v>
      </x:c>
      <x:c r="G15" s="25" t="str">
        <x:v>Female</x:v>
      </x:c>
      <x:c r="H15" s="25" t="str">
        <x:v>N/A</x:v>
      </x:c>
      <x:c r="I15" s="25" t="str">
        <x:v>छोरी</x:v>
      </x:c>
      <x:c r="J15" s="25" t="str">
        <x:v>chorī</x:v>
      </x:c>
      <x:c r="K15" s="25" t="str">
        <x:v>Daughter</x:v>
      </x:c>
      <x:c r="L15" s="25" t="str">
        <x:v>बुबा/आमा</x:v>
      </x:c>
      <x:c r="M15" s="25" t="str">
        <x:v>Biological</x:v>
      </x:c>
      <x:c r="N15" s="25" t="str">
        <x:v>All</x:v>
      </x:c>
      <x:c r="O15" s="25" t="str">
        <x:v>पुत्री</x:v>
      </x:c>
      <x:c r="P15" s="25" t="str">
        <x:v>SRC-001; SRC-002</x:v>
      </x:c>
      <x:c r="Q15" s="31" t="str">
        <x:v>Academic support; community authority missing</x:v>
      </x:c>
      <x:c r="R15" s="33" t="str">
        <x:v>Expert validation required</x:v>
      </x:c>
      <x:c r="S15" s="31" t="str"/>
      <x:c r="T15" s="31" t="str"/>
      <x:c r="U15" s="25" t="str">
        <x:v>0.2</x:v>
      </x:c>
      <x:c r="V15" s="31" t="str"/>
      <x:c r="W15" s="31" t="str">
        <x:v>AI desk review only; not a cultural approval</x:v>
      </x:c>
      <x:c r="X15" s="35" t="str">
        <x:v>Supported as common Standard Nepali candidate</x:v>
      </x:c>
      <x:c r="Y15" s="35" t="str">
        <x:v>High</x:v>
      </x:c>
      <x:c r="Z15" s="35" t="str">
        <x:v>Implement only behind approval gate</x:v>
      </x:c>
      <x:c r="AA15" s="36" t="str">
        <x:v>Adhikari cultural reviewer + separate senior final approver</x:v>
      </x:c>
    </x:row>
    <x:row r="16">
      <x:c r="A16" s="24" t="str">
        <x:v>NS-012</x:v>
      </x:c>
      <x:c r="B16" s="25" t="str">
        <x:v>Grandparent</x:v>
      </x:c>
      <x:c r="C16" s="25" t="str">
        <x:v>+2</x:v>
      </x:c>
      <x:c r="D16" s="25" t="str">
        <x:v>Paternal</x:v>
      </x:c>
      <x:c r="E16" s="25" t="str">
        <x:v>E-F-F</x:v>
      </x:c>
      <x:c r="F16" s="25" t="str">
        <x:v>Father's father</x:v>
      </x:c>
      <x:c r="G16" s="25" t="str">
        <x:v>Male</x:v>
      </x:c>
      <x:c r="H16" s="25" t="str">
        <x:v>N/A</x:v>
      </x:c>
      <x:c r="I16" s="25" t="str">
        <x:v>हजुरबुबा</x:v>
      </x:c>
      <x:c r="J16" s="25" t="str">
        <x:v>hajurbubā</x:v>
      </x:c>
      <x:c r="K16" s="25" t="str">
        <x:v>Paternal grandfather</x:v>
      </x:c>
      <x:c r="L16" s="25" t="str">
        <x:v>नाति/नातिनी</x:v>
      </x:c>
      <x:c r="M16" s="25" t="str">
        <x:v>Biological</x:v>
      </x:c>
      <x:c r="N16" s="25" t="str">
        <x:v>Standard neutral</x:v>
      </x:c>
      <x:c r="O16" s="25" t="str">
        <x:v>बाजे; पितामह</x:v>
      </x:c>
      <x:c r="P16" s="25" t="str">
        <x:v>SRC-001; SRC-002</x:v>
      </x:c>
      <x:c r="Q16" s="31" t="str">
        <x:v>Academic support; community authority missing</x:v>
      </x:c>
      <x:c r="R16" s="33" t="str">
        <x:v>Expert validation required</x:v>
      </x:c>
      <x:c r="S16" s="31" t="str"/>
      <x:c r="T16" s="31" t="str"/>
      <x:c r="U16" s="25" t="str">
        <x:v>0.2</x:v>
      </x:c>
      <x:c r="V16" s="31" t="str"/>
      <x:c r="W16" s="31" t="str">
        <x:v>AI desk review only; not a cultural approval</x:v>
      </x:c>
      <x:c r="X16" s="35" t="str">
        <x:v>Supported as common Standard Nepali candidate</x:v>
      </x:c>
      <x:c r="Y16" s="35" t="str">
        <x:v>High</x:v>
      </x:c>
      <x:c r="Z16" s="35" t="str">
        <x:v>Implement only behind approval gate</x:v>
      </x:c>
      <x:c r="AA16" s="36" t="str">
        <x:v>Adhikari cultural reviewer + separate senior final approver</x:v>
      </x:c>
    </x:row>
    <x:row r="17">
      <x:c r="A17" s="24" t="str">
        <x:v>NS-013</x:v>
      </x:c>
      <x:c r="B17" s="25" t="str">
        <x:v>Grandparent</x:v>
      </x:c>
      <x:c r="C17" s="25" t="str">
        <x:v>+2</x:v>
      </x:c>
      <x:c r="D17" s="25" t="str">
        <x:v>Paternal</x:v>
      </x:c>
      <x:c r="E17" s="25" t="str">
        <x:v>E-F-M</x:v>
      </x:c>
      <x:c r="F17" s="25" t="str">
        <x:v>Father's mother</x:v>
      </x:c>
      <x:c r="G17" s="25" t="str">
        <x:v>Female</x:v>
      </x:c>
      <x:c r="H17" s="25" t="str">
        <x:v>N/A</x:v>
      </x:c>
      <x:c r="I17" s="25" t="str">
        <x:v>हजुरआमा</x:v>
      </x:c>
      <x:c r="J17" s="25" t="str">
        <x:v>hajurāmā</x:v>
      </x:c>
      <x:c r="K17" s="25" t="str">
        <x:v>Paternal grandmother</x:v>
      </x:c>
      <x:c r="L17" s="25" t="str">
        <x:v>नाति/नातिनी</x:v>
      </x:c>
      <x:c r="M17" s="25" t="str">
        <x:v>Biological</x:v>
      </x:c>
      <x:c r="N17" s="25" t="str">
        <x:v>Standard neutral</x:v>
      </x:c>
      <x:c r="O17" s="25" t="str">
        <x:v>बज्यै; पितामही</x:v>
      </x:c>
      <x:c r="P17" s="25" t="str">
        <x:v>SRC-001; SRC-002</x:v>
      </x:c>
      <x:c r="Q17" s="31" t="str">
        <x:v>Academic support; community authority missing</x:v>
      </x:c>
      <x:c r="R17" s="33" t="str">
        <x:v>Expert validation required</x:v>
      </x:c>
      <x:c r="S17" s="31" t="str"/>
      <x:c r="T17" s="31" t="str"/>
      <x:c r="U17" s="25" t="str">
        <x:v>0.2</x:v>
      </x:c>
      <x:c r="V17" s="31" t="str"/>
      <x:c r="W17" s="31" t="str">
        <x:v>AI desk review only; not a cultural approval</x:v>
      </x:c>
      <x:c r="X17" s="35" t="str">
        <x:v>Supported as common Standard Nepali candidate</x:v>
      </x:c>
      <x:c r="Y17" s="35" t="str">
        <x:v>High</x:v>
      </x:c>
      <x:c r="Z17" s="35" t="str">
        <x:v>Implement only behind approval gate</x:v>
      </x:c>
      <x:c r="AA17" s="36" t="str">
        <x:v>Adhikari cultural reviewer + separate senior final approver</x:v>
      </x:c>
    </x:row>
    <x:row r="18">
      <x:c r="A18" s="24" t="str">
        <x:v>NS-014</x:v>
      </x:c>
      <x:c r="B18" s="25" t="str">
        <x:v>Grandparent</x:v>
      </x:c>
      <x:c r="C18" s="25" t="str">
        <x:v>+2</x:v>
      </x:c>
      <x:c r="D18" s="25" t="str">
        <x:v>Maternal</x:v>
      </x:c>
      <x:c r="E18" s="25" t="str">
        <x:v>E-M-F</x:v>
      </x:c>
      <x:c r="F18" s="25" t="str">
        <x:v>Mother's father</x:v>
      </x:c>
      <x:c r="G18" s="25" t="str">
        <x:v>Male</x:v>
      </x:c>
      <x:c r="H18" s="25" t="str">
        <x:v>N/A</x:v>
      </x:c>
      <x:c r="I18" s="25" t="str">
        <x:v>हजुरबुबा</x:v>
      </x:c>
      <x:c r="J18" s="25" t="str">
        <x:v>hajurbubā</x:v>
      </x:c>
      <x:c r="K18" s="25" t="str">
        <x:v>Maternal grandfather</x:v>
      </x:c>
      <x:c r="L18" s="25" t="str">
        <x:v>नाति/नातिनी</x:v>
      </x:c>
      <x:c r="M18" s="25" t="str">
        <x:v>Biological</x:v>
      </x:c>
      <x:c r="N18" s="25" t="str">
        <x:v>Standard neutral</x:v>
      </x:c>
      <x:c r="O18" s="25" t="str">
        <x:v>मावली बाजे; मातामह</x:v>
      </x:c>
      <x:c r="P18" s="25" t="str">
        <x:v>SRC-001; SRC-002</x:v>
      </x:c>
      <x:c r="Q18" s="31" t="str">
        <x:v>Academic support; community authority missing</x:v>
      </x:c>
      <x:c r="R18" s="33" t="str">
        <x:v>Expert validation required</x:v>
      </x:c>
      <x:c r="S18" s="31" t="str"/>
      <x:c r="T18" s="31" t="str"/>
      <x:c r="U18" s="25" t="str">
        <x:v>0.2</x:v>
      </x:c>
      <x:c r="V18" s="31" t="str"/>
      <x:c r="W18" s="31" t="str">
        <x:v>AI desk review only; not a cultural approval</x:v>
      </x:c>
      <x:c r="X18" s="35" t="str">
        <x:v>Supported as common Standard Nepali candidate</x:v>
      </x:c>
      <x:c r="Y18" s="35" t="str">
        <x:v>High</x:v>
      </x:c>
      <x:c r="Z18" s="35" t="str">
        <x:v>Implement only behind approval gate</x:v>
      </x:c>
      <x:c r="AA18" s="36" t="str">
        <x:v>Adhikari cultural reviewer + separate senior final approver</x:v>
      </x:c>
    </x:row>
    <x:row r="19">
      <x:c r="A19" s="24" t="str">
        <x:v>NS-015</x:v>
      </x:c>
      <x:c r="B19" s="25" t="str">
        <x:v>Grandparent</x:v>
      </x:c>
      <x:c r="C19" s="25" t="str">
        <x:v>+2</x:v>
      </x:c>
      <x:c r="D19" s="25" t="str">
        <x:v>Maternal</x:v>
      </x:c>
      <x:c r="E19" s="25" t="str">
        <x:v>E-M-M</x:v>
      </x:c>
      <x:c r="F19" s="25" t="str">
        <x:v>Mother's mother</x:v>
      </x:c>
      <x:c r="G19" s="25" t="str">
        <x:v>Female</x:v>
      </x:c>
      <x:c r="H19" s="25" t="str">
        <x:v>N/A</x:v>
      </x:c>
      <x:c r="I19" s="25" t="str">
        <x:v>हजुरआमा</x:v>
      </x:c>
      <x:c r="J19" s="25" t="str">
        <x:v>hajurāmā</x:v>
      </x:c>
      <x:c r="K19" s="25" t="str">
        <x:v>Maternal grandmother</x:v>
      </x:c>
      <x:c r="L19" s="25" t="str">
        <x:v>नाति/नातिनी</x:v>
      </x:c>
      <x:c r="M19" s="25" t="str">
        <x:v>Biological</x:v>
      </x:c>
      <x:c r="N19" s="25" t="str">
        <x:v>Standard neutral</x:v>
      </x:c>
      <x:c r="O19" s="25" t="str">
        <x:v>मावली बज्यै; मातामही</x:v>
      </x:c>
      <x:c r="P19" s="25" t="str">
        <x:v>SRC-001; SRC-002</x:v>
      </x:c>
      <x:c r="Q19" s="31" t="str">
        <x:v>Academic support; community authority missing</x:v>
      </x:c>
      <x:c r="R19" s="33" t="str">
        <x:v>Expert validation required</x:v>
      </x:c>
      <x:c r="S19" s="31" t="str"/>
      <x:c r="T19" s="31" t="str"/>
      <x:c r="U19" s="25" t="str">
        <x:v>0.2</x:v>
      </x:c>
      <x:c r="V19" s="31" t="str"/>
      <x:c r="W19" s="31" t="str">
        <x:v>AI desk review only; not a cultural approval</x:v>
      </x:c>
      <x:c r="X19" s="35" t="str">
        <x:v>Supported as common Standard Nepali candidate</x:v>
      </x:c>
      <x:c r="Y19" s="35" t="str">
        <x:v>High</x:v>
      </x:c>
      <x:c r="Z19" s="35" t="str">
        <x:v>Implement only behind approval gate</x:v>
      </x:c>
      <x:c r="AA19" s="36" t="str">
        <x:v>Adhikari cultural reviewer + separate senior final approver</x:v>
      </x:c>
    </x:row>
    <x:row r="20">
      <x:c r="A20" s="24" t="str">
        <x:v>NS-016</x:v>
      </x:c>
      <x:c r="B20" s="25" t="str">
        <x:v>Grandchild</x:v>
      </x:c>
      <x:c r="C20" s="25" t="str">
        <x:v>-2</x:v>
      </x:c>
      <x:c r="D20" s="25" t="str">
        <x:v>Descendant</x:v>
      </x:c>
      <x:c r="E20" s="25" t="str">
        <x:v>E-S-S / E-D-S</x:v>
      </x:c>
      <x:c r="F20" s="25" t="str">
        <x:v>Child's son</x:v>
      </x:c>
      <x:c r="G20" s="25" t="str">
        <x:v>Male</x:v>
      </x:c>
      <x:c r="H20" s="25" t="str">
        <x:v>N/A</x:v>
      </x:c>
      <x:c r="I20" s="25" t="str">
        <x:v>नाति</x:v>
      </x:c>
      <x:c r="J20" s="25" t="str">
        <x:v>nāti</x:v>
      </x:c>
      <x:c r="K20" s="25" t="str">
        <x:v>Grandson</x:v>
      </x:c>
      <x:c r="L20" s="25" t="str">
        <x:v>हजुरबुबा/हजुरआमा</x:v>
      </x:c>
      <x:c r="M20" s="25" t="str">
        <x:v>Biological</x:v>
      </x:c>
      <x:c r="N20" s="25" t="str">
        <x:v>All</x:v>
      </x:c>
      <x:c r="O20" s="25" t="str">
        <x:v>—</x:v>
      </x:c>
      <x:c r="P20" s="25" t="str">
        <x:v>SRC-001; SRC-002</x:v>
      </x:c>
      <x:c r="Q20" s="31" t="str">
        <x:v>Academic support; community authority missing</x:v>
      </x:c>
      <x:c r="R20" s="33" t="str">
        <x:v>Expert validation required</x:v>
      </x:c>
      <x:c r="S20" s="31" t="str"/>
      <x:c r="T20" s="31" t="str"/>
      <x:c r="U20" s="25" t="str">
        <x:v>0.2</x:v>
      </x:c>
      <x:c r="V20" s="31" t="str"/>
      <x:c r="W20" s="31" t="str">
        <x:v>AI desk review only; not a cultural approval</x:v>
      </x:c>
      <x:c r="X20" s="35" t="str">
        <x:v>Supported as common Standard Nepali candidate</x:v>
      </x:c>
      <x:c r="Y20" s="35" t="str">
        <x:v>High</x:v>
      </x:c>
      <x:c r="Z20" s="35" t="str">
        <x:v>Implement only behind approval gate</x:v>
      </x:c>
      <x:c r="AA20" s="36" t="str">
        <x:v>Adhikari cultural reviewer + separate senior final approver</x:v>
      </x:c>
    </x:row>
    <x:row r="21">
      <x:c r="A21" s="24" t="str">
        <x:v>NS-017</x:v>
      </x:c>
      <x:c r="B21" s="25" t="str">
        <x:v>Grandchild</x:v>
      </x:c>
      <x:c r="C21" s="25" t="str">
        <x:v>-2</x:v>
      </x:c>
      <x:c r="D21" s="25" t="str">
        <x:v>Descendant</x:v>
      </x:c>
      <x:c r="E21" s="25" t="str">
        <x:v>E-S-D / E-D-D</x:v>
      </x:c>
      <x:c r="F21" s="25" t="str">
        <x:v>Child's daughter</x:v>
      </x:c>
      <x:c r="G21" s="25" t="str">
        <x:v>Female</x:v>
      </x:c>
      <x:c r="H21" s="25" t="str">
        <x:v>N/A</x:v>
      </x:c>
      <x:c r="I21" s="25" t="str">
        <x:v>नातिनी</x:v>
      </x:c>
      <x:c r="J21" s="25" t="str">
        <x:v>nātinī</x:v>
      </x:c>
      <x:c r="K21" s="25" t="str">
        <x:v>Granddaughter</x:v>
      </x:c>
      <x:c r="L21" s="25" t="str">
        <x:v>हजुरबुबा/हजुरआमा</x:v>
      </x:c>
      <x:c r="M21" s="25" t="str">
        <x:v>Biological</x:v>
      </x:c>
      <x:c r="N21" s="25" t="str">
        <x:v>All</x:v>
      </x:c>
      <x:c r="O21" s="25" t="str">
        <x:v>—</x:v>
      </x:c>
      <x:c r="P21" s="25" t="str">
        <x:v>SRC-001; SRC-002</x:v>
      </x:c>
      <x:c r="Q21" s="31" t="str">
        <x:v>Academic support; community authority missing</x:v>
      </x:c>
      <x:c r="R21" s="33" t="str">
        <x:v>Expert validation required</x:v>
      </x:c>
      <x:c r="S21" s="31" t="str"/>
      <x:c r="T21" s="31" t="str"/>
      <x:c r="U21" s="25" t="str">
        <x:v>0.2</x:v>
      </x:c>
      <x:c r="V21" s="31" t="str"/>
      <x:c r="W21" s="31" t="str">
        <x:v>AI desk review only; not a cultural approval</x:v>
      </x:c>
      <x:c r="X21" s="35" t="str">
        <x:v>Supported as common Standard Nepali candidate</x:v>
      </x:c>
      <x:c r="Y21" s="35" t="str">
        <x:v>High</x:v>
      </x:c>
      <x:c r="Z21" s="35" t="str">
        <x:v>Implement only behind approval gate</x:v>
      </x:c>
      <x:c r="AA21" s="36" t="str">
        <x:v>Adhikari cultural reviewer + separate senior final approver</x:v>
      </x:c>
    </x:row>
    <x:row r="22">
      <x:c r="A22" s="24" t="str">
        <x:v>NS-018</x:v>
      </x:c>
      <x:c r="B22" s="25" t="str">
        <x:v>Great-grandchild</x:v>
      </x:c>
      <x:c r="C22" s="25" t="str">
        <x:v>-3</x:v>
      </x:c>
      <x:c r="D22" s="25" t="str">
        <x:v>Descendant</x:v>
      </x:c>
      <x:c r="E22" s="25" t="str">
        <x:v>E-*-*-S</x:v>
      </x:c>
      <x:c r="F22" s="25" t="str">
        <x:v>Grandchild's son</x:v>
      </x:c>
      <x:c r="G22" s="25" t="str">
        <x:v>Male</x:v>
      </x:c>
      <x:c r="H22" s="25" t="str">
        <x:v>N/A</x:v>
      </x:c>
      <x:c r="I22" s="25" t="str">
        <x:v>पनाति</x:v>
      </x:c>
      <x:c r="J22" s="25" t="str">
        <x:v>panāti</x:v>
      </x:c>
      <x:c r="K22" s="25" t="str">
        <x:v>Great-grandson</x:v>
      </x:c>
      <x:c r="L22" s="25" t="str">
        <x:v>बराजु/बराज्यै</x:v>
      </x:c>
      <x:c r="M22" s="25" t="str">
        <x:v>Biological</x:v>
      </x:c>
      <x:c r="N22" s="25" t="str">
        <x:v>Requires validation</x:v>
      </x:c>
      <x:c r="O22" s="25" t="str">
        <x:v>पलाती (reported variant)</x:v>
      </x:c>
      <x:c r="P22" s="25" t="str">
        <x:v>SRC-001; SRC-002</x:v>
      </x:c>
      <x:c r="Q22" s="31" t="str">
        <x:v>Academic support; community authority missing</x:v>
      </x:c>
      <x:c r="R22" s="33" t="str">
        <x:v>Expert validation required</x:v>
      </x:c>
      <x:c r="S22" s="31" t="str"/>
      <x:c r="T22" s="31" t="str"/>
      <x:c r="U22" s="25" t="str">
        <x:v>0.2</x:v>
      </x:c>
      <x:c r="V22" s="31" t="str"/>
      <x:c r="W22" s="31" t="str">
        <x:v>AI desk review only; not a cultural approval</x:v>
      </x:c>
      <x:c r="X22" s="35" t="str">
        <x:v>Culturally/legal sensitive — retain explicit descriptive label</x:v>
      </x:c>
      <x:c r="Y22" s="35" t="str">
        <x:v>Low</x:v>
      </x:c>
      <x:c r="Z22" s="35" t="str">
        <x:v>Do not automate as an equivalence; require verified edge/status</x:v>
      </x:c>
      <x:c r="AA22" s="36" t="str">
        <x:v>Relevant cultural authority; legal/privacy review where status is sensitive</x:v>
      </x:c>
    </x:row>
    <x:row r="23">
      <x:c r="A23" s="24" t="str">
        <x:v>NS-019</x:v>
      </x:c>
      <x:c r="B23" s="25" t="str">
        <x:v>Great-grandchild</x:v>
      </x:c>
      <x:c r="C23" s="25" t="str">
        <x:v>-3</x:v>
      </x:c>
      <x:c r="D23" s="25" t="str">
        <x:v>Descendant</x:v>
      </x:c>
      <x:c r="E23" s="25" t="str">
        <x:v>E-*-*-D</x:v>
      </x:c>
      <x:c r="F23" s="25" t="str">
        <x:v>Grandchild's daughter</x:v>
      </x:c>
      <x:c r="G23" s="25" t="str">
        <x:v>Female</x:v>
      </x:c>
      <x:c r="H23" s="25" t="str">
        <x:v>N/A</x:v>
      </x:c>
      <x:c r="I23" s="25" t="str">
        <x:v>पनातिनी</x:v>
      </x:c>
      <x:c r="J23" s="25" t="str">
        <x:v>panātinī</x:v>
      </x:c>
      <x:c r="K23" s="25" t="str">
        <x:v>Great-granddaughter</x:v>
      </x:c>
      <x:c r="L23" s="25" t="str">
        <x:v>बराजु/बराज्यै</x:v>
      </x:c>
      <x:c r="M23" s="25" t="str">
        <x:v>Biological</x:v>
      </x:c>
      <x:c r="N23" s="25" t="str">
        <x:v>Requires validation</x:v>
      </x:c>
      <x:c r="O23" s="25" t="str">
        <x:v>पलातिनी (reported variant)</x:v>
      </x:c>
      <x:c r="P23" s="25" t="str">
        <x:v>SRC-001; SRC-002</x:v>
      </x:c>
      <x:c r="Q23" s="31" t="str">
        <x:v>Academic support; community authority missing</x:v>
      </x:c>
      <x:c r="R23" s="33" t="str">
        <x:v>Expert validation required</x:v>
      </x:c>
      <x:c r="S23" s="31" t="str"/>
      <x:c r="T23" s="31" t="str"/>
      <x:c r="U23" s="25" t="str">
        <x:v>0.2</x:v>
      </x:c>
      <x:c r="V23" s="31" t="str"/>
      <x:c r="W23" s="31" t="str">
        <x:v>AI desk review only; not a cultural approval</x:v>
      </x:c>
      <x:c r="X23" s="35" t="str">
        <x:v>Culturally/legal sensitive — retain explicit descriptive label</x:v>
      </x:c>
      <x:c r="Y23" s="35" t="str">
        <x:v>Low</x:v>
      </x:c>
      <x:c r="Z23" s="35" t="str">
        <x:v>Do not automate as an equivalence; require verified edge/status</x:v>
      </x:c>
      <x:c r="AA23" s="36" t="str">
        <x:v>Relevant cultural authority; legal/privacy review where status is sensitive</x:v>
      </x:c>
    </x:row>
    <x:row r="24">
      <x:c r="A24" s="24" t="str">
        <x:v>NS-020</x:v>
      </x:c>
      <x:c r="B24" s="25" t="str">
        <x:v>Paternal uncle</x:v>
      </x:c>
      <x:c r="C24" s="25" t="str">
        <x:v>+1</x:v>
      </x:c>
      <x:c r="D24" s="25" t="str">
        <x:v>Paternal</x:v>
      </x:c>
      <x:c r="E24" s="25" t="str">
        <x:v>E-F-B(y)</x:v>
      </x:c>
      <x:c r="F24" s="25" t="str">
        <x:v>Father's younger brother</x:v>
      </x:c>
      <x:c r="G24" s="25" t="str">
        <x:v>Male</x:v>
      </x:c>
      <x:c r="H24" s="25" t="str">
        <x:v>Younger than father</x:v>
      </x:c>
      <x:c r="I24" s="25" t="str">
        <x:v>काका</x:v>
      </x:c>
      <x:c r="J24" s="25" t="str">
        <x:v>kākā</x:v>
      </x:c>
      <x:c r="K24" s="25" t="str">
        <x:v>Paternal younger uncle</x:v>
      </x:c>
      <x:c r="L24" s="25" t="str">
        <x:v>भतिजा/भतिजी</x:v>
      </x:c>
      <x:c r="M24" s="25" t="str">
        <x:v>Biological</x:v>
      </x:c>
      <x:c r="N24" s="25" t="str">
        <x:v>Common standard</x:v>
      </x:c>
      <x:c r="O24" s="25" t="str">
        <x:v>कान्छाबुबा; सानाबुबा</x:v>
      </x:c>
      <x:c r="P24" s="25" t="str">
        <x:v>SRC-001; SRC-002</x:v>
      </x:c>
      <x:c r="Q24" s="31" t="str">
        <x:v>Academic support; community authority missing</x:v>
      </x:c>
      <x:c r="R24" s="33" t="str">
        <x:v>Expert validation required</x:v>
      </x:c>
      <x:c r="S24" s="31" t="str"/>
      <x:c r="T24" s="31" t="str"/>
      <x:c r="U24" s="25" t="str">
        <x:v>0.2</x:v>
      </x:c>
      <x:c r="V24" s="31" t="str"/>
      <x:c r="W24" s="31" t="str">
        <x:v>AI desk review only; not a cultural approval</x:v>
      </x:c>
      <x:c r="X24" s="35" t="str">
        <x:v>Supported as common Standard Nepali candidate</x:v>
      </x:c>
      <x:c r="Y24" s="35" t="str">
        <x:v>High</x:v>
      </x:c>
      <x:c r="Z24" s="35" t="str">
        <x:v>Implement only behind approval gate</x:v>
      </x:c>
      <x:c r="AA24" s="36" t="str">
        <x:v>Adhikari cultural reviewer + separate senior final approver</x:v>
      </x:c>
    </x:row>
    <x:row r="25">
      <x:c r="A25" s="24" t="str">
        <x:v>NS-021</x:v>
      </x:c>
      <x:c r="B25" s="25" t="str">
        <x:v>Paternal aunt-in-law</x:v>
      </x:c>
      <x:c r="C25" s="25" t="str">
        <x:v>+1</x:v>
      </x:c>
      <x:c r="D25" s="25" t="str">
        <x:v>Paternal</x:v>
      </x:c>
      <x:c r="E25" s="25" t="str">
        <x:v>E-F-B(y)-W</x:v>
      </x:c>
      <x:c r="F25" s="25" t="str">
        <x:v>Father's younger brother's wife</x:v>
      </x:c>
      <x:c r="G25" s="25" t="str">
        <x:v>Female</x:v>
      </x:c>
      <x:c r="H25" s="25" t="str">
        <x:v>N/A</x:v>
      </x:c>
      <x:c r="I25" s="25" t="str">
        <x:v>काकी</x:v>
      </x:c>
      <x:c r="J25" s="25" t="str">
        <x:v>kākī</x:v>
      </x:c>
      <x:c r="K25" s="25" t="str">
        <x:v>Wife of paternal younger uncle</x:v>
      </x:c>
      <x:c r="L25" s="25" t="str">
        <x:v>भतिजा/भतिजी</x:v>
      </x:c>
      <x:c r="M25" s="25" t="str">
        <x:v>Marriage</x:v>
      </x:c>
      <x:c r="N25" s="25" t="str">
        <x:v>Common standard</x:v>
      </x:c>
      <x:c r="O25" s="25" t="str">
        <x:v>सानीआमा</x:v>
      </x:c>
      <x:c r="P25" s="25" t="str">
        <x:v>SRC-001; SRC-002</x:v>
      </x:c>
      <x:c r="Q25" s="31" t="str">
        <x:v>Academic support; community authority missing</x:v>
      </x:c>
      <x:c r="R25" s="33" t="str">
        <x:v>Expert validation required</x:v>
      </x:c>
      <x:c r="S25" s="31" t="str"/>
      <x:c r="T25" s="31" t="str"/>
      <x:c r="U25" s="25" t="str">
        <x:v>0.2</x:v>
      </x:c>
      <x:c r="V25" s="31" t="str"/>
      <x:c r="W25" s="31" t="str">
        <x:v>AI desk review only; not a cultural approval</x:v>
      </x:c>
      <x:c r="X25" s="35" t="str">
        <x:v>Supported as common Standard Nepali candidate</x:v>
      </x:c>
      <x:c r="Y25" s="35" t="str">
        <x:v>High</x:v>
      </x:c>
      <x:c r="Z25" s="35" t="str">
        <x:v>Implement only behind approval gate</x:v>
      </x:c>
      <x:c r="AA25" s="36" t="str">
        <x:v>Adhikari cultural reviewer + separate senior final approver</x:v>
      </x:c>
    </x:row>
    <x:row r="26">
      <x:c r="A26" s="24" t="str">
        <x:v>NS-022</x:v>
      </x:c>
      <x:c r="B26" s="25" t="str">
        <x:v>Paternal uncle</x:v>
      </x:c>
      <x:c r="C26" s="25" t="str">
        <x:v>+1</x:v>
      </x:c>
      <x:c r="D26" s="25" t="str">
        <x:v>Paternal</x:v>
      </x:c>
      <x:c r="E26" s="25" t="str">
        <x:v>E-F-B(o)</x:v>
      </x:c>
      <x:c r="F26" s="25" t="str">
        <x:v>Father's older brother</x:v>
      </x:c>
      <x:c r="G26" s="25" t="str">
        <x:v>Male</x:v>
      </x:c>
      <x:c r="H26" s="25" t="str">
        <x:v>Older than father</x:v>
      </x:c>
      <x:c r="I26" s="25" t="str">
        <x:v>ठूलोबुबा</x:v>
      </x:c>
      <x:c r="J26" s="25" t="str">
        <x:v>ṭhūlobubā</x:v>
      </x:c>
      <x:c r="K26" s="25" t="str">
        <x:v>Paternal elder uncle</x:v>
      </x:c>
      <x:c r="L26" s="25" t="str">
        <x:v>भतिजा/भतिजी</x:v>
      </x:c>
      <x:c r="M26" s="25" t="str">
        <x:v>Biological</x:v>
      </x:c>
      <x:c r="N26" s="25" t="str">
        <x:v>Requires validation</x:v>
      </x:c>
      <x:c r="O26" s="25" t="str">
        <x:v>ठुलाबा; बडाबुबा</x:v>
      </x:c>
      <x:c r="P26" s="25" t="str">
        <x:v>SRC-001; SRC-002</x:v>
      </x:c>
      <x:c r="Q26" s="31" t="str">
        <x:v>Academic support; community authority missing</x:v>
      </x:c>
      <x:c r="R26" s="33" t="str">
        <x:v>Expert validation required</x:v>
      </x:c>
      <x:c r="S26" s="31" t="str"/>
      <x:c r="T26" s="31" t="str"/>
      <x:c r="U26" s="25" t="str">
        <x:v>0.2</x:v>
      </x:c>
      <x:c r="V26" s="31" t="str"/>
      <x:c r="W26" s="31" t="str">
        <x:v>AI desk review only; not a cultural approval</x:v>
      </x:c>
      <x:c r="X26" s="35" t="str">
        <x:v>Supported as common Standard Nepali candidate</x:v>
      </x:c>
      <x:c r="Y26" s="35" t="str">
        <x:v>High</x:v>
      </x:c>
      <x:c r="Z26" s="35" t="str">
        <x:v>Implement only behind approval gate</x:v>
      </x:c>
      <x:c r="AA26" s="36" t="str">
        <x:v>Adhikari cultural reviewer + separate senior final approver</x:v>
      </x:c>
    </x:row>
    <x:row r="27">
      <x:c r="A27" s="24" t="str">
        <x:v>NS-023</x:v>
      </x:c>
      <x:c r="B27" s="25" t="str">
        <x:v>Paternal aunt-in-law</x:v>
      </x:c>
      <x:c r="C27" s="25" t="str">
        <x:v>+1</x:v>
      </x:c>
      <x:c r="D27" s="25" t="str">
        <x:v>Paternal</x:v>
      </x:c>
      <x:c r="E27" s="25" t="str">
        <x:v>E-F-B(o)-W</x:v>
      </x:c>
      <x:c r="F27" s="25" t="str">
        <x:v>Father's older brother's wife</x:v>
      </x:c>
      <x:c r="G27" s="25" t="str">
        <x:v>Female</x:v>
      </x:c>
      <x:c r="H27" s="25" t="str">
        <x:v>N/A</x:v>
      </x:c>
      <x:c r="I27" s="25" t="str">
        <x:v>ठूलीआमा</x:v>
      </x:c>
      <x:c r="J27" s="25" t="str">
        <x:v>ṭhūlīāmā</x:v>
      </x:c>
      <x:c r="K27" s="25" t="str">
        <x:v>Wife of paternal elder uncle</x:v>
      </x:c>
      <x:c r="L27" s="25" t="str">
        <x:v>भतिजा/भतिजी</x:v>
      </x:c>
      <x:c r="M27" s="25" t="str">
        <x:v>Marriage</x:v>
      </x:c>
      <x:c r="N27" s="25" t="str">
        <x:v>Requires validation</x:v>
      </x:c>
      <x:c r="O27" s="25" t="str">
        <x:v>बडीआमा</x:v>
      </x:c>
      <x:c r="P27" s="25" t="str">
        <x:v>SRC-001; SRC-002</x:v>
      </x:c>
      <x:c r="Q27" s="31" t="str">
        <x:v>Academic support; community authority missing</x:v>
      </x:c>
      <x:c r="R27" s="33" t="str">
        <x:v>Expert validation required</x:v>
      </x:c>
      <x:c r="S27" s="31" t="str"/>
      <x:c r="T27" s="31" t="str"/>
      <x:c r="U27" s="25" t="str">
        <x:v>0.2</x:v>
      </x:c>
      <x:c r="V27" s="31" t="str"/>
      <x:c r="W27" s="31" t="str">
        <x:v>AI desk review only; not a cultural approval</x:v>
      </x:c>
      <x:c r="X27" s="35" t="str">
        <x:v>Supported as common Standard Nepali candidate</x:v>
      </x:c>
      <x:c r="Y27" s="35" t="str">
        <x:v>High</x:v>
      </x:c>
      <x:c r="Z27" s="35" t="str">
        <x:v>Implement only behind approval gate</x:v>
      </x:c>
      <x:c r="AA27" s="36" t="str">
        <x:v>Adhikari cultural reviewer + separate senior final approver</x:v>
      </x:c>
    </x:row>
    <x:row r="28">
      <x:c r="A28" s="24" t="str">
        <x:v>NS-024</x:v>
      </x:c>
      <x:c r="B28" s="25" t="str">
        <x:v>Paternal aunt</x:v>
      </x:c>
      <x:c r="C28" s="25" t="str">
        <x:v>+1</x:v>
      </x:c>
      <x:c r="D28" s="25" t="str">
        <x:v>Paternal</x:v>
      </x:c>
      <x:c r="E28" s="25" t="str">
        <x:v>E-F-Z</x:v>
      </x:c>
      <x:c r="F28" s="25" t="str">
        <x:v>Father's sister</x:v>
      </x:c>
      <x:c r="G28" s="25" t="str">
        <x:v>Female</x:v>
      </x:c>
      <x:c r="H28" s="25" t="str">
        <x:v>N/A</x:v>
      </x:c>
      <x:c r="I28" s="25" t="str">
        <x:v>फुपू</x:v>
      </x:c>
      <x:c r="J28" s="25" t="str">
        <x:v>phupū</x:v>
      </x:c>
      <x:c r="K28" s="25" t="str">
        <x:v>Paternal aunt</x:v>
      </x:c>
      <x:c r="L28" s="25" t="str">
        <x:v>भतिजा/भतिजी</x:v>
      </x:c>
      <x:c r="M28" s="25" t="str">
        <x:v>Biological</x:v>
      </x:c>
      <x:c r="N28" s="25" t="str">
        <x:v>Common standard</x:v>
      </x:c>
      <x:c r="O28" s="25" t="str">
        <x:v>फुपु; फुपूआमा</x:v>
      </x:c>
      <x:c r="P28" s="25" t="str">
        <x:v>SRC-001; SRC-002</x:v>
      </x:c>
      <x:c r="Q28" s="31" t="str">
        <x:v>Academic support; community authority missing</x:v>
      </x:c>
      <x:c r="R28" s="33" t="str">
        <x:v>Expert validation required</x:v>
      </x:c>
      <x:c r="S28" s="31" t="str"/>
      <x:c r="T28" s="31" t="str"/>
      <x:c r="U28" s="25" t="str">
        <x:v>0.2</x:v>
      </x:c>
      <x:c r="V28" s="31" t="str"/>
      <x:c r="W28" s="31" t="str">
        <x:v>AI desk review only; not a cultural approval</x:v>
      </x:c>
      <x:c r="X28" s="35" t="str">
        <x:v>Supported as common Standard Nepali candidate</x:v>
      </x:c>
      <x:c r="Y28" s="35" t="str">
        <x:v>High</x:v>
      </x:c>
      <x:c r="Z28" s="35" t="str">
        <x:v>Implement only behind approval gate</x:v>
      </x:c>
      <x:c r="AA28" s="36" t="str">
        <x:v>Adhikari cultural reviewer + separate senior final approver</x:v>
      </x:c>
    </x:row>
    <x:row r="29">
      <x:c r="A29" s="24" t="str">
        <x:v>NS-025</x:v>
      </x:c>
      <x:c r="B29" s="25" t="str">
        <x:v>Paternal uncle-in-law</x:v>
      </x:c>
      <x:c r="C29" s="25" t="str">
        <x:v>+1</x:v>
      </x:c>
      <x:c r="D29" s="25" t="str">
        <x:v>Paternal</x:v>
      </x:c>
      <x:c r="E29" s="25" t="str">
        <x:v>E-F-Z-H</x:v>
      </x:c>
      <x:c r="F29" s="25" t="str">
        <x:v>Father's sister's husband</x:v>
      </x:c>
      <x:c r="G29" s="25" t="str">
        <x:v>Male</x:v>
      </x:c>
      <x:c r="H29" s="25" t="str">
        <x:v>N/A</x:v>
      </x:c>
      <x:c r="I29" s="25" t="str">
        <x:v>फुपाजु</x:v>
      </x:c>
      <x:c r="J29" s="25" t="str">
        <x:v>phupāju</x:v>
      </x:c>
      <x:c r="K29" s="25" t="str">
        <x:v>Husband of paternal aunt</x:v>
      </x:c>
      <x:c r="L29" s="25" t="str">
        <x:v>भतिजा/भतिजी</x:v>
      </x:c>
      <x:c r="M29" s="25" t="str">
        <x:v>Marriage</x:v>
      </x:c>
      <x:c r="N29" s="25" t="str">
        <x:v>Common standard</x:v>
      </x:c>
      <x:c r="O29" s="25" t="str">
        <x:v>फुपाबुबा</x:v>
      </x:c>
      <x:c r="P29" s="25" t="str">
        <x:v>SRC-001; SRC-002</x:v>
      </x:c>
      <x:c r="Q29" s="31" t="str">
        <x:v>Academic support; community authority missing</x:v>
      </x:c>
      <x:c r="R29" s="33" t="str">
        <x:v>Expert validation required</x:v>
      </x:c>
      <x:c r="S29" s="31" t="str"/>
      <x:c r="T29" s="31" t="str"/>
      <x:c r="U29" s="25" t="str">
        <x:v>0.2</x:v>
      </x:c>
      <x:c r="V29" s="31" t="str"/>
      <x:c r="W29" s="31" t="str">
        <x:v>AI desk review only; not a cultural approval</x:v>
      </x:c>
      <x:c r="X29" s="35" t="str">
        <x:v>Supported as common Standard Nepali candidate</x:v>
      </x:c>
      <x:c r="Y29" s="35" t="str">
        <x:v>High</x:v>
      </x:c>
      <x:c r="Z29" s="35" t="str">
        <x:v>Implement only behind approval gate</x:v>
      </x:c>
      <x:c r="AA29" s="36" t="str">
        <x:v>Adhikari cultural reviewer + separate senior final approver</x:v>
      </x:c>
    </x:row>
    <x:row r="30">
      <x:c r="A30" s="24" t="str">
        <x:v>NS-026</x:v>
      </x:c>
      <x:c r="B30" s="25" t="str">
        <x:v>Maternal uncle</x:v>
      </x:c>
      <x:c r="C30" s="25" t="str">
        <x:v>+1</x:v>
      </x:c>
      <x:c r="D30" s="25" t="str">
        <x:v>Maternal</x:v>
      </x:c>
      <x:c r="E30" s="25" t="str">
        <x:v>E-M-B</x:v>
      </x:c>
      <x:c r="F30" s="25" t="str">
        <x:v>Mother's brother</x:v>
      </x:c>
      <x:c r="G30" s="25" t="str">
        <x:v>Male</x:v>
      </x:c>
      <x:c r="H30" s="25" t="str">
        <x:v>N/A</x:v>
      </x:c>
      <x:c r="I30" s="25" t="str">
        <x:v>मामा</x:v>
      </x:c>
      <x:c r="J30" s="25" t="str">
        <x:v>māmā</x:v>
      </x:c>
      <x:c r="K30" s="25" t="str">
        <x:v>Maternal uncle</x:v>
      </x:c>
      <x:c r="L30" s="25" t="str">
        <x:v>भाञ्जा/भाञ्जी</x:v>
      </x:c>
      <x:c r="M30" s="25" t="str">
        <x:v>Biological</x:v>
      </x:c>
      <x:c r="N30" s="25" t="str">
        <x:v>Common standard</x:v>
      </x:c>
      <x:c r="O30" s="25" t="str">
        <x:v>मामाजु</x:v>
      </x:c>
      <x:c r="P30" s="25" t="str">
        <x:v>SRC-001; SRC-002</x:v>
      </x:c>
      <x:c r="Q30" s="31" t="str">
        <x:v>Academic support; community authority missing</x:v>
      </x:c>
      <x:c r="R30" s="33" t="str">
        <x:v>Expert validation required</x:v>
      </x:c>
      <x:c r="S30" s="31" t="str"/>
      <x:c r="T30" s="31" t="str"/>
      <x:c r="U30" s="25" t="str">
        <x:v>0.2</x:v>
      </x:c>
      <x:c r="V30" s="31" t="str"/>
      <x:c r="W30" s="31" t="str">
        <x:v>AI desk review only; not a cultural approval</x:v>
      </x:c>
      <x:c r="X30" s="35" t="str">
        <x:v>Supported as common Standard Nepali candidate</x:v>
      </x:c>
      <x:c r="Y30" s="35" t="str">
        <x:v>High</x:v>
      </x:c>
      <x:c r="Z30" s="35" t="str">
        <x:v>Implement only behind approval gate</x:v>
      </x:c>
      <x:c r="AA30" s="36" t="str">
        <x:v>Adhikari cultural reviewer + separate senior final approver</x:v>
      </x:c>
    </x:row>
    <x:row r="31">
      <x:c r="A31" s="24" t="str">
        <x:v>NS-027</x:v>
      </x:c>
      <x:c r="B31" s="25" t="str">
        <x:v>Maternal aunt-in-law</x:v>
      </x:c>
      <x:c r="C31" s="25" t="str">
        <x:v>+1</x:v>
      </x:c>
      <x:c r="D31" s="25" t="str">
        <x:v>Maternal</x:v>
      </x:c>
      <x:c r="E31" s="25" t="str">
        <x:v>E-M-B-W</x:v>
      </x:c>
      <x:c r="F31" s="25" t="str">
        <x:v>Mother's brother's wife</x:v>
      </x:c>
      <x:c r="G31" s="25" t="str">
        <x:v>Female</x:v>
      </x:c>
      <x:c r="H31" s="25" t="str">
        <x:v>N/A</x:v>
      </x:c>
      <x:c r="I31" s="25" t="str">
        <x:v>माइजू</x:v>
      </x:c>
      <x:c r="J31" s="25" t="str">
        <x:v>māijū</x:v>
      </x:c>
      <x:c r="K31" s="25" t="str">
        <x:v>Wife of maternal uncle</x:v>
      </x:c>
      <x:c r="L31" s="25" t="str">
        <x:v>भाञ्जा/भाञ्जी</x:v>
      </x:c>
      <x:c r="M31" s="25" t="str">
        <x:v>Marriage</x:v>
      </x:c>
      <x:c r="N31" s="25" t="str">
        <x:v>Common standard</x:v>
      </x:c>
      <x:c r="O31" s="25" t="str">
        <x:v>माइजु</x:v>
      </x:c>
      <x:c r="P31" s="25" t="str">
        <x:v>SRC-001; SRC-002</x:v>
      </x:c>
      <x:c r="Q31" s="31" t="str">
        <x:v>Academic support; community authority missing</x:v>
      </x:c>
      <x:c r="R31" s="33" t="str">
        <x:v>Expert validation required</x:v>
      </x:c>
      <x:c r="S31" s="31" t="str"/>
      <x:c r="T31" s="31" t="str"/>
      <x:c r="U31" s="25" t="str">
        <x:v>0.2</x:v>
      </x:c>
      <x:c r="V31" s="31" t="str"/>
      <x:c r="W31" s="31" t="str">
        <x:v>AI desk review only; not a cultural approval</x:v>
      </x:c>
      <x:c r="X31" s="35" t="str">
        <x:v>Supported as common Standard Nepali candidate</x:v>
      </x:c>
      <x:c r="Y31" s="35" t="str">
        <x:v>High</x:v>
      </x:c>
      <x:c r="Z31" s="35" t="str">
        <x:v>Implement only behind approval gate</x:v>
      </x:c>
      <x:c r="AA31" s="36" t="str">
        <x:v>Adhikari cultural reviewer + separate senior final approver</x:v>
      </x:c>
    </x:row>
    <x:row r="32">
      <x:c r="A32" s="24" t="str">
        <x:v>NS-028</x:v>
      </x:c>
      <x:c r="B32" s="25" t="str">
        <x:v>Maternal aunt</x:v>
      </x:c>
      <x:c r="C32" s="25" t="str">
        <x:v>+1</x:v>
      </x:c>
      <x:c r="D32" s="25" t="str">
        <x:v>Maternal</x:v>
      </x:c>
      <x:c r="E32" s="25" t="str">
        <x:v>E-M-Z(o)</x:v>
      </x:c>
      <x:c r="F32" s="25" t="str">
        <x:v>Mother's older sister</x:v>
      </x:c>
      <x:c r="G32" s="25" t="str">
        <x:v>Female</x:v>
      </x:c>
      <x:c r="H32" s="25" t="str">
        <x:v>Older than mother</x:v>
      </x:c>
      <x:c r="I32" s="25" t="str">
        <x:v>आमाकी दिदी</x:v>
      </x:c>
      <x:c r="J32" s="25" t="str">
        <x:v>āmākī didī</x:v>
      </x:c>
      <x:c r="K32" s="25" t="str">
        <x:v>Maternal elder aunt</x:v>
      </x:c>
      <x:c r="L32" s="25" t="str">
        <x:v>भाञ्जा/भाञ्जी</x:v>
      </x:c>
      <x:c r="M32" s="25" t="str">
        <x:v>Biological</x:v>
      </x:c>
      <x:c r="N32" s="25" t="str">
        <x:v>Unambiguous fallback</x:v>
      </x:c>
      <x:c r="O32" s="25" t="str">
        <x:v>ठूलीआमा (validate ambiguity)</x:v>
      </x:c>
      <x:c r="P32" s="25" t="str">
        <x:v>SRC-001; SRC-002</x:v>
      </x:c>
      <x:c r="Q32" s="31" t="str">
        <x:v>Academic support; community authority missing</x:v>
      </x:c>
      <x:c r="R32" s="33" t="str">
        <x:v>Expert validation required</x:v>
      </x:c>
      <x:c r="S32" s="31" t="str"/>
      <x:c r="T32" s="31" t="str"/>
      <x:c r="U32" s="25" t="str">
        <x:v>0.2</x:v>
      </x:c>
      <x:c r="V32" s="31" t="str"/>
      <x:c r="W32" s="31" t="str">
        <x:v>AI desk review only; not a cultural approval</x:v>
      </x:c>
      <x:c r="X32" s="35" t="str">
        <x:v>Supported with qualifier</x:v>
      </x:c>
      <x:c r="Y32" s="35" t="str">
        <x:v>Medium</x:v>
      </x:c>
      <x:c r="Z32" s="35" t="str">
        <x:v>Implement only behind approval gate</x:v>
      </x:c>
      <x:c r="AA32" s="36" t="str">
        <x:v>Adhikari cultural reviewer + separate senior final approver</x:v>
      </x:c>
    </x:row>
    <x:row r="33">
      <x:c r="A33" s="24" t="str">
        <x:v>NS-029</x:v>
      </x:c>
      <x:c r="B33" s="25" t="str">
        <x:v>Maternal aunt</x:v>
      </x:c>
      <x:c r="C33" s="25" t="str">
        <x:v>+1</x:v>
      </x:c>
      <x:c r="D33" s="25" t="str">
        <x:v>Maternal</x:v>
      </x:c>
      <x:c r="E33" s="25" t="str">
        <x:v>E-M-Z(y)</x:v>
      </x:c>
      <x:c r="F33" s="25" t="str">
        <x:v>Mother's younger sister</x:v>
      </x:c>
      <x:c r="G33" s="25" t="str">
        <x:v>Female</x:v>
      </x:c>
      <x:c r="H33" s="25" t="str">
        <x:v>Younger than mother</x:v>
      </x:c>
      <x:c r="I33" s="25" t="str">
        <x:v>सानीआमा</x:v>
      </x:c>
      <x:c r="J33" s="25" t="str">
        <x:v>sānīāmā</x:v>
      </x:c>
      <x:c r="K33" s="25" t="str">
        <x:v>Maternal younger aunt</x:v>
      </x:c>
      <x:c r="L33" s="25" t="str">
        <x:v>भाञ्जा/भाञ्जी</x:v>
      </x:c>
      <x:c r="M33" s="25" t="str">
        <x:v>Biological</x:v>
      </x:c>
      <x:c r="N33" s="25" t="str">
        <x:v>Requires validation</x:v>
      </x:c>
      <x:c r="O33" s="25" t="str">
        <x:v>आमाकी बहिनी</x:v>
      </x:c>
      <x:c r="P33" s="25" t="str">
        <x:v>SRC-001; SRC-002</x:v>
      </x:c>
      <x:c r="Q33" s="31" t="str">
        <x:v>Academic support; community authority missing</x:v>
      </x:c>
      <x:c r="R33" s="33" t="str">
        <x:v>Expert validation required</x:v>
      </x:c>
      <x:c r="S33" s="31" t="str"/>
      <x:c r="T33" s="31" t="str"/>
      <x:c r="U33" s="25" t="str">
        <x:v>0.2</x:v>
      </x:c>
      <x:c r="V33" s="31" t="str"/>
      <x:c r="W33" s="31" t="str">
        <x:v>AI desk review only; not a cultural approval</x:v>
      </x:c>
      <x:c r="X33" s="35" t="str">
        <x:v>Supported with qualifier</x:v>
      </x:c>
      <x:c r="Y33" s="35" t="str">
        <x:v>Medium</x:v>
      </x:c>
      <x:c r="Z33" s="35" t="str">
        <x:v>Implement only behind approval gate</x:v>
      </x:c>
      <x:c r="AA33" s="36" t="str">
        <x:v>Adhikari cultural reviewer + separate senior final approver</x:v>
      </x:c>
    </x:row>
    <x:row r="34">
      <x:c r="A34" s="24" t="str">
        <x:v>NS-030</x:v>
      </x:c>
      <x:c r="B34" s="25" t="str">
        <x:v>Maternal uncle-in-law</x:v>
      </x:c>
      <x:c r="C34" s="25" t="str">
        <x:v>+1</x:v>
      </x:c>
      <x:c r="D34" s="25" t="str">
        <x:v>Maternal</x:v>
      </x:c>
      <x:c r="E34" s="25" t="str">
        <x:v>E-M-Z(o)-H</x:v>
      </x:c>
      <x:c r="F34" s="25" t="str">
        <x:v>Mother's older sister's husband</x:v>
      </x:c>
      <x:c r="G34" s="25" t="str">
        <x:v>Male</x:v>
      </x:c>
      <x:c r="H34" s="25" t="str">
        <x:v>N/A</x:v>
      </x:c>
      <x:c r="I34" s="25" t="str">
        <x:v>आमाकी दिदीका श्रीमान्</x:v>
      </x:c>
      <x:c r="J34" s="25" t="str">
        <x:v>āmākī didīkā shrīmān</x:v>
      </x:c>
      <x:c r="K34" s="25" t="str">
        <x:v>Husband of maternal elder aunt</x:v>
      </x:c>
      <x:c r="L34" s="25" t="str">
        <x:v>भाञ्जा/भाञ्जी</x:v>
      </x:c>
      <x:c r="M34" s="25" t="str">
        <x:v>Marriage</x:v>
      </x:c>
      <x:c r="N34" s="25" t="str">
        <x:v>Neutral fallback</x:v>
      </x:c>
      <x:c r="O34" s="25" t="str">
        <x:v>ठूलोबुबा (validate)</x:v>
      </x:c>
      <x:c r="P34" s="25" t="str">
        <x:v>SRC-001; SRC-002</x:v>
      </x:c>
      <x:c r="Q34" s="31" t="str">
        <x:v>Academic support; community authority missing</x:v>
      </x:c>
      <x:c r="R34" s="33" t="str">
        <x:v>Expert validation required</x:v>
      </x:c>
      <x:c r="S34" s="31" t="str"/>
      <x:c r="T34" s="31" t="str"/>
      <x:c r="U34" s="25" t="str">
        <x:v>0.2</x:v>
      </x:c>
      <x:c r="V34" s="31" t="str"/>
      <x:c r="W34" s="31" t="str">
        <x:v>AI desk review only; not a cultural approval</x:v>
      </x:c>
      <x:c r="X34" s="35" t="str">
        <x:v>Supported with qualifier</x:v>
      </x:c>
      <x:c r="Y34" s="35" t="str">
        <x:v>Medium</x:v>
      </x:c>
      <x:c r="Z34" s="35" t="str">
        <x:v>Implement only behind approval gate</x:v>
      </x:c>
      <x:c r="AA34" s="36" t="str">
        <x:v>Adhikari cultural reviewer + separate senior final approver</x:v>
      </x:c>
    </x:row>
    <x:row r="35">
      <x:c r="A35" s="24" t="str">
        <x:v>NS-031</x:v>
      </x:c>
      <x:c r="B35" s="25" t="str">
        <x:v>Maternal uncle-in-law</x:v>
      </x:c>
      <x:c r="C35" s="25" t="str">
        <x:v>+1</x:v>
      </x:c>
      <x:c r="D35" s="25" t="str">
        <x:v>Maternal</x:v>
      </x:c>
      <x:c r="E35" s="25" t="str">
        <x:v>E-M-Z(y)-H</x:v>
      </x:c>
      <x:c r="F35" s="25" t="str">
        <x:v>Mother's younger sister's husband</x:v>
      </x:c>
      <x:c r="G35" s="25" t="str">
        <x:v>Male</x:v>
      </x:c>
      <x:c r="H35" s="25" t="str">
        <x:v>N/A</x:v>
      </x:c>
      <x:c r="I35" s="25" t="str">
        <x:v>सानाबुबा</x:v>
      </x:c>
      <x:c r="J35" s="25" t="str">
        <x:v>sānābubā</x:v>
      </x:c>
      <x:c r="K35" s="25" t="str">
        <x:v>Husband of maternal younger aunt</x:v>
      </x:c>
      <x:c r="L35" s="25" t="str">
        <x:v>भाञ्जा/भाञ्जी</x:v>
      </x:c>
      <x:c r="M35" s="25" t="str">
        <x:v>Marriage</x:v>
      </x:c>
      <x:c r="N35" s="25" t="str">
        <x:v>Requires validation</x:v>
      </x:c>
      <x:c r="O35" s="25" t="str">
        <x:v>सानाबा</x:v>
      </x:c>
      <x:c r="P35" s="25" t="str">
        <x:v>SRC-001; SRC-002</x:v>
      </x:c>
      <x:c r="Q35" s="31" t="str">
        <x:v>Academic support; community authority missing</x:v>
      </x:c>
      <x:c r="R35" s="33" t="str">
        <x:v>Expert validation required</x:v>
      </x:c>
      <x:c r="S35" s="31" t="str"/>
      <x:c r="T35" s="31" t="str"/>
      <x:c r="U35" s="25" t="str">
        <x:v>0.2</x:v>
      </x:c>
      <x:c r="V35" s="31" t="str"/>
      <x:c r="W35" s="31" t="str">
        <x:v>AI desk review only; not a cultural approval</x:v>
      </x:c>
      <x:c r="X35" s="35" t="str">
        <x:v>Supported with qualifier</x:v>
      </x:c>
      <x:c r="Y35" s="35" t="str">
        <x:v>Medium</x:v>
      </x:c>
      <x:c r="Z35" s="35" t="str">
        <x:v>Implement only behind approval gate</x:v>
      </x:c>
      <x:c r="AA35" s="36" t="str">
        <x:v>Adhikari cultural reviewer + separate senior final approver</x:v>
      </x:c>
    </x:row>
    <x:row r="36">
      <x:c r="A36" s="24" t="str">
        <x:v>NS-032</x:v>
      </x:c>
      <x:c r="B36" s="25" t="str">
        <x:v>Nibling</x:v>
      </x:c>
      <x:c r="C36" s="25" t="str">
        <x:v>-1</x:v>
      </x:c>
      <x:c r="D36" s="25" t="str">
        <x:v>Sibling line</x:v>
      </x:c>
      <x:c r="E36" s="25" t="str">
        <x:v>E-B-S</x:v>
      </x:c>
      <x:c r="F36" s="25" t="str">
        <x:v>Brother's son</x:v>
      </x:c>
      <x:c r="G36" s="25" t="str">
        <x:v>Male</x:v>
      </x:c>
      <x:c r="H36" s="25" t="str">
        <x:v>N/A</x:v>
      </x:c>
      <x:c r="I36" s="25" t="str">
        <x:v>भतिजा</x:v>
      </x:c>
      <x:c r="J36" s="25" t="str">
        <x:v>bhatijā</x:v>
      </x:c>
      <x:c r="K36" s="25" t="str">
        <x:v>Nephew (brother's son)</x:v>
      </x:c>
      <x:c r="L36" s="25" t="str">
        <x:v>काका/फुपू</x:v>
      </x:c>
      <x:c r="M36" s="25" t="str">
        <x:v>Biological</x:v>
      </x:c>
      <x:c r="N36" s="25" t="str">
        <x:v>Common standard</x:v>
      </x:c>
      <x:c r="O36" s="25" t="str">
        <x:v>भतिज</x:v>
      </x:c>
      <x:c r="P36" s="25" t="str">
        <x:v>SRC-001; SRC-002</x:v>
      </x:c>
      <x:c r="Q36" s="31" t="str">
        <x:v>Academic support; community authority missing</x:v>
      </x:c>
      <x:c r="R36" s="33" t="str">
        <x:v>Expert validation required</x:v>
      </x:c>
      <x:c r="S36" s="31" t="str"/>
      <x:c r="T36" s="31" t="str"/>
      <x:c r="U36" s="25" t="str">
        <x:v>0.2</x:v>
      </x:c>
      <x:c r="V36" s="31" t="str"/>
      <x:c r="W36" s="31" t="str">
        <x:v>AI desk review only; not a cultural approval</x:v>
      </x:c>
      <x:c r="X36" s="35" t="str">
        <x:v>Supported as common Standard Nepali candidate</x:v>
      </x:c>
      <x:c r="Y36" s="35" t="str">
        <x:v>High</x:v>
      </x:c>
      <x:c r="Z36" s="35" t="str">
        <x:v>Implement only behind approval gate</x:v>
      </x:c>
      <x:c r="AA36" s="36" t="str">
        <x:v>Adhikari cultural reviewer + separate senior final approver</x:v>
      </x:c>
    </x:row>
    <x:row r="37">
      <x:c r="A37" s="24" t="str">
        <x:v>NS-033</x:v>
      </x:c>
      <x:c r="B37" s="25" t="str">
        <x:v>Nibling</x:v>
      </x:c>
      <x:c r="C37" s="25" t="str">
        <x:v>-1</x:v>
      </x:c>
      <x:c r="D37" s="25" t="str">
        <x:v>Sibling line</x:v>
      </x:c>
      <x:c r="E37" s="25" t="str">
        <x:v>E-B-D</x:v>
      </x:c>
      <x:c r="F37" s="25" t="str">
        <x:v>Brother's daughter</x:v>
      </x:c>
      <x:c r="G37" s="25" t="str">
        <x:v>Female</x:v>
      </x:c>
      <x:c r="H37" s="25" t="str">
        <x:v>N/A</x:v>
      </x:c>
      <x:c r="I37" s="25" t="str">
        <x:v>भतिजी</x:v>
      </x:c>
      <x:c r="J37" s="25" t="str">
        <x:v>bhatijī</x:v>
      </x:c>
      <x:c r="K37" s="25" t="str">
        <x:v>Niece (brother's daughter)</x:v>
      </x:c>
      <x:c r="L37" s="25" t="str">
        <x:v>काका/फुपू</x:v>
      </x:c>
      <x:c r="M37" s="25" t="str">
        <x:v>Biological</x:v>
      </x:c>
      <x:c r="N37" s="25" t="str">
        <x:v>Common standard</x:v>
      </x:c>
      <x:c r="O37" s="25" t="str">
        <x:v>—</x:v>
      </x:c>
      <x:c r="P37" s="25" t="str">
        <x:v>SRC-001; SRC-002</x:v>
      </x:c>
      <x:c r="Q37" s="31" t="str">
        <x:v>Academic support; community authority missing</x:v>
      </x:c>
      <x:c r="R37" s="33" t="str">
        <x:v>Expert validation required</x:v>
      </x:c>
      <x:c r="S37" s="31" t="str"/>
      <x:c r="T37" s="31" t="str"/>
      <x:c r="U37" s="25" t="str">
        <x:v>0.2</x:v>
      </x:c>
      <x:c r="V37" s="31" t="str"/>
      <x:c r="W37" s="31" t="str">
        <x:v>AI desk review only; not a cultural approval</x:v>
      </x:c>
      <x:c r="X37" s="35" t="str">
        <x:v>Supported as common Standard Nepali candidate</x:v>
      </x:c>
      <x:c r="Y37" s="35" t="str">
        <x:v>High</x:v>
      </x:c>
      <x:c r="Z37" s="35" t="str">
        <x:v>Implement only behind approval gate</x:v>
      </x:c>
      <x:c r="AA37" s="36" t="str">
        <x:v>Adhikari cultural reviewer + separate senior final approver</x:v>
      </x:c>
    </x:row>
    <x:row r="38">
      <x:c r="A38" s="24" t="str">
        <x:v>NS-034</x:v>
      </x:c>
      <x:c r="B38" s="25" t="str">
        <x:v>Nibling</x:v>
      </x:c>
      <x:c r="C38" s="25" t="str">
        <x:v>-1</x:v>
      </x:c>
      <x:c r="D38" s="25" t="str">
        <x:v>Sibling line</x:v>
      </x:c>
      <x:c r="E38" s="25" t="str">
        <x:v>E-Z-S</x:v>
      </x:c>
      <x:c r="F38" s="25" t="str">
        <x:v>Sister's son</x:v>
      </x:c>
      <x:c r="G38" s="25" t="str">
        <x:v>Male</x:v>
      </x:c>
      <x:c r="H38" s="25" t="str">
        <x:v>N/A</x:v>
      </x:c>
      <x:c r="I38" s="25" t="str">
        <x:v>भाञ्जा</x:v>
      </x:c>
      <x:c r="J38" s="25" t="str">
        <x:v>bhāñjā</x:v>
      </x:c>
      <x:c r="K38" s="25" t="str">
        <x:v>Nephew (sister's son)</x:v>
      </x:c>
      <x:c r="L38" s="25" t="str">
        <x:v>मामा/माइजू</x:v>
      </x:c>
      <x:c r="M38" s="25" t="str">
        <x:v>Biological</x:v>
      </x:c>
      <x:c r="N38" s="25" t="str">
        <x:v>Common standard</x:v>
      </x:c>
      <x:c r="O38" s="25" t="str">
        <x:v>भान्जा</x:v>
      </x:c>
      <x:c r="P38" s="25" t="str">
        <x:v>SRC-001; SRC-002</x:v>
      </x:c>
      <x:c r="Q38" s="31" t="str">
        <x:v>Academic support; community authority missing</x:v>
      </x:c>
      <x:c r="R38" s="33" t="str">
        <x:v>Expert validation required</x:v>
      </x:c>
      <x:c r="S38" s="31" t="str"/>
      <x:c r="T38" s="31" t="str"/>
      <x:c r="U38" s="25" t="str">
        <x:v>0.2</x:v>
      </x:c>
      <x:c r="V38" s="31" t="str"/>
      <x:c r="W38" s="31" t="str">
        <x:v>AI desk review only; not a cultural approval</x:v>
      </x:c>
      <x:c r="X38" s="35" t="str">
        <x:v>Supported as common Standard Nepali candidate</x:v>
      </x:c>
      <x:c r="Y38" s="35" t="str">
        <x:v>High</x:v>
      </x:c>
      <x:c r="Z38" s="35" t="str">
        <x:v>Implement only behind approval gate</x:v>
      </x:c>
      <x:c r="AA38" s="36" t="str">
        <x:v>Adhikari cultural reviewer + separate senior final approver</x:v>
      </x:c>
    </x:row>
    <x:row r="39">
      <x:c r="A39" s="24" t="str">
        <x:v>NS-035</x:v>
      </x:c>
      <x:c r="B39" s="25" t="str">
        <x:v>Nibling</x:v>
      </x:c>
      <x:c r="C39" s="25" t="str">
        <x:v>-1</x:v>
      </x:c>
      <x:c r="D39" s="25" t="str">
        <x:v>Sibling line</x:v>
      </x:c>
      <x:c r="E39" s="25" t="str">
        <x:v>E-Z-D</x:v>
      </x:c>
      <x:c r="F39" s="25" t="str">
        <x:v>Sister's daughter</x:v>
      </x:c>
      <x:c r="G39" s="25" t="str">
        <x:v>Female</x:v>
      </x:c>
      <x:c r="H39" s="25" t="str">
        <x:v>N/A</x:v>
      </x:c>
      <x:c r="I39" s="25" t="str">
        <x:v>भाञ्जी</x:v>
      </x:c>
      <x:c r="J39" s="25" t="str">
        <x:v>bhāñjī</x:v>
      </x:c>
      <x:c r="K39" s="25" t="str">
        <x:v>Niece (sister's daughter)</x:v>
      </x:c>
      <x:c r="L39" s="25" t="str">
        <x:v>मामा/माइजू</x:v>
      </x:c>
      <x:c r="M39" s="25" t="str">
        <x:v>Biological</x:v>
      </x:c>
      <x:c r="N39" s="25" t="str">
        <x:v>Common standard</x:v>
      </x:c>
      <x:c r="O39" s="25" t="str">
        <x:v>भान्जी</x:v>
      </x:c>
      <x:c r="P39" s="25" t="str">
        <x:v>SRC-001; SRC-002</x:v>
      </x:c>
      <x:c r="Q39" s="31" t="str">
        <x:v>Academic support; community authority missing</x:v>
      </x:c>
      <x:c r="R39" s="33" t="str">
        <x:v>Expert validation required</x:v>
      </x:c>
      <x:c r="S39" s="31" t="str"/>
      <x:c r="T39" s="31" t="str"/>
      <x:c r="U39" s="25" t="str">
        <x:v>0.2</x:v>
      </x:c>
      <x:c r="V39" s="31" t="str"/>
      <x:c r="W39" s="31" t="str">
        <x:v>AI desk review only; not a cultural approval</x:v>
      </x:c>
      <x:c r="X39" s="35" t="str">
        <x:v>Supported as common Standard Nepali candidate</x:v>
      </x:c>
      <x:c r="Y39" s="35" t="str">
        <x:v>High</x:v>
      </x:c>
      <x:c r="Z39" s="35" t="str">
        <x:v>Implement only behind approval gate</x:v>
      </x:c>
      <x:c r="AA39" s="36" t="str">
        <x:v>Adhikari cultural reviewer + separate senior final approver</x:v>
      </x:c>
    </x:row>
    <x:row r="40">
      <x:c r="A40" s="24" t="str">
        <x:v>NS-036</x:v>
      </x:c>
      <x:c r="B40" s="25" t="str">
        <x:v>Sibling spouse</x:v>
      </x:c>
      <x:c r="C40" s="25" t="str">
        <x:v>0</x:v>
      </x:c>
      <x:c r="D40" s="25" t="str">
        <x:v>Sibling line</x:v>
      </x:c>
      <x:c r="E40" s="25" t="str">
        <x:v>E-Z-H</x:v>
      </x:c>
      <x:c r="F40" s="25" t="str">
        <x:v>Sister's husband</x:v>
      </x:c>
      <x:c r="G40" s="25" t="str">
        <x:v>Male</x:v>
      </x:c>
      <x:c r="H40" s="25" t="str">
        <x:v>N/A</x:v>
      </x:c>
      <x:c r="I40" s="25" t="str">
        <x:v>भिनाजु</x:v>
      </x:c>
      <x:c r="J40" s="25" t="str">
        <x:v>bhināju</x:v>
      </x:c>
      <x:c r="K40" s="25" t="str">
        <x:v>Brother-in-law (sister's husband)</x:v>
      </x:c>
      <x:c r="L40" s="25" t="str">
        <x:v>सालो/साली</x:v>
      </x:c>
      <x:c r="M40" s="25" t="str">
        <x:v>Marriage</x:v>
      </x:c>
      <x:c r="N40" s="25" t="str">
        <x:v>Common standard</x:v>
      </x:c>
      <x:c r="O40" s="25" t="str">
        <x:v>भेनाजु</x:v>
      </x:c>
      <x:c r="P40" s="25" t="str">
        <x:v>SRC-001; SRC-002</x:v>
      </x:c>
      <x:c r="Q40" s="31" t="str">
        <x:v>Academic support; community authority missing</x:v>
      </x:c>
      <x:c r="R40" s="33" t="str">
        <x:v>Expert validation required</x:v>
      </x:c>
      <x:c r="S40" s="31" t="str"/>
      <x:c r="T40" s="31" t="str"/>
      <x:c r="U40" s="25" t="str">
        <x:v>0.2</x:v>
      </x:c>
      <x:c r="V40" s="31" t="str"/>
      <x:c r="W40" s="31" t="str">
        <x:v>AI desk review only; not a cultural approval</x:v>
      </x:c>
      <x:c r="X40" s="35" t="str">
        <x:v>Supported with qualifier</x:v>
      </x:c>
      <x:c r="Y40" s="35" t="str">
        <x:v>Medium</x:v>
      </x:c>
      <x:c r="Z40" s="35" t="str">
        <x:v>Implement only behind approval gate</x:v>
      </x:c>
      <x:c r="AA40" s="36" t="str">
        <x:v>Adhikari cultural reviewer + separate senior final approver</x:v>
      </x:c>
    </x:row>
    <x:row r="41">
      <x:c r="A41" s="24" t="str">
        <x:v>NS-037</x:v>
      </x:c>
      <x:c r="B41" s="25" t="str">
        <x:v>Sibling spouse</x:v>
      </x:c>
      <x:c r="C41" s="25" t="str">
        <x:v>0</x:v>
      </x:c>
      <x:c r="D41" s="25" t="str">
        <x:v>Sibling line</x:v>
      </x:c>
      <x:c r="E41" s="25" t="str">
        <x:v>E-B(o)-W</x:v>
      </x:c>
      <x:c r="F41" s="25" t="str">
        <x:v>Older brother's wife</x:v>
      </x:c>
      <x:c r="G41" s="25" t="str">
        <x:v>Female</x:v>
      </x:c>
      <x:c r="H41" s="25" t="str">
        <x:v>N/A</x:v>
      </x:c>
      <x:c r="I41" s="25" t="str">
        <x:v>भाउजू</x:v>
      </x:c>
      <x:c r="J41" s="25" t="str">
        <x:v>bhāujū</x:v>
      </x:c>
      <x:c r="K41" s="25" t="str">
        <x:v>Sister-in-law (older brother's wife)</x:v>
      </x:c>
      <x:c r="L41" s="25" t="str">
        <x:v>देवर/नन्द</x:v>
      </x:c>
      <x:c r="M41" s="25" t="str">
        <x:v>Marriage</x:v>
      </x:c>
      <x:c r="N41" s="25" t="str">
        <x:v>Common standard</x:v>
      </x:c>
      <x:c r="O41" s="25" t="str">
        <x:v>भाउजु</x:v>
      </x:c>
      <x:c r="P41" s="25" t="str">
        <x:v>SRC-001; SRC-002</x:v>
      </x:c>
      <x:c r="Q41" s="31" t="str">
        <x:v>Academic support; community authority missing</x:v>
      </x:c>
      <x:c r="R41" s="33" t="str">
        <x:v>Expert validation required</x:v>
      </x:c>
      <x:c r="S41" s="31" t="str"/>
      <x:c r="T41" s="31" t="str"/>
      <x:c r="U41" s="25" t="str">
        <x:v>0.2</x:v>
      </x:c>
      <x:c r="V41" s="31" t="str"/>
      <x:c r="W41" s="31" t="str">
        <x:v>AI desk review only; not a cultural approval</x:v>
      </x:c>
      <x:c r="X41" s="35" t="str">
        <x:v>Supported with qualifier</x:v>
      </x:c>
      <x:c r="Y41" s="35" t="str">
        <x:v>Medium</x:v>
      </x:c>
      <x:c r="Z41" s="35" t="str">
        <x:v>Implement only behind approval gate</x:v>
      </x:c>
      <x:c r="AA41" s="36" t="str">
        <x:v>Adhikari cultural reviewer + separate senior final approver</x:v>
      </x:c>
    </x:row>
    <x:row r="42">
      <x:c r="A42" s="24" t="str">
        <x:v>NS-038</x:v>
      </x:c>
      <x:c r="B42" s="25" t="str">
        <x:v>Sibling spouse</x:v>
      </x:c>
      <x:c r="C42" s="25" t="str">
        <x:v>0</x:v>
      </x:c>
      <x:c r="D42" s="25" t="str">
        <x:v>Sibling line</x:v>
      </x:c>
      <x:c r="E42" s="25" t="str">
        <x:v>E-B(y)-W</x:v>
      </x:c>
      <x:c r="F42" s="25" t="str">
        <x:v>Younger brother's wife</x:v>
      </x:c>
      <x:c r="G42" s="25" t="str">
        <x:v>Female</x:v>
      </x:c>
      <x:c r="H42" s="25" t="str">
        <x:v>N/A</x:v>
      </x:c>
      <x:c r="I42" s="25" t="str">
        <x:v>भाइबुहारी</x:v>
      </x:c>
      <x:c r="J42" s="25" t="str">
        <x:v>bhāibuhārī</x:v>
      </x:c>
      <x:c r="K42" s="25" t="str">
        <x:v>Younger brother's wife</x:v>
      </x:c>
      <x:c r="L42" s="25" t="str">
        <x:v>जेठाजु/नन्द</x:v>
      </x:c>
      <x:c r="M42" s="25" t="str">
        <x:v>Marriage</x:v>
      </x:c>
      <x:c r="N42" s="25" t="str">
        <x:v>Requires validation</x:v>
      </x:c>
      <x:c r="O42" s="25" t="str">
        <x:v>भाइकी श्रीमती</x:v>
      </x:c>
      <x:c r="P42" s="25" t="str">
        <x:v>SRC-001; SRC-002</x:v>
      </x:c>
      <x:c r="Q42" s="31" t="str">
        <x:v>Academic support; community authority missing</x:v>
      </x:c>
      <x:c r="R42" s="33" t="str">
        <x:v>Expert validation required</x:v>
      </x:c>
      <x:c r="S42" s="31" t="str"/>
      <x:c r="T42" s="31" t="str"/>
      <x:c r="U42" s="25" t="str">
        <x:v>0.2</x:v>
      </x:c>
      <x:c r="V42" s="31" t="str"/>
      <x:c r="W42" s="31" t="str">
        <x:v>AI desk review only; not a cultural approval</x:v>
      </x:c>
      <x:c r="X42" s="35" t="str">
        <x:v>Supported with qualifier</x:v>
      </x:c>
      <x:c r="Y42" s="35" t="str">
        <x:v>Medium</x:v>
      </x:c>
      <x:c r="Z42" s="35" t="str">
        <x:v>Implement only behind approval gate</x:v>
      </x:c>
      <x:c r="AA42" s="36" t="str">
        <x:v>Adhikari cultural reviewer + separate senior final approver</x:v>
      </x:c>
    </x:row>
    <x:row r="43">
      <x:c r="A43" s="24" t="str">
        <x:v>NS-039</x:v>
      </x:c>
      <x:c r="B43" s="25" t="str">
        <x:v>Child spouse</x:v>
      </x:c>
      <x:c r="C43" s="25" t="str">
        <x:v>-1</x:v>
      </x:c>
      <x:c r="D43" s="25" t="str">
        <x:v>Descendant</x:v>
      </x:c>
      <x:c r="E43" s="25" t="str">
        <x:v>E-S-W</x:v>
      </x:c>
      <x:c r="F43" s="25" t="str">
        <x:v>Son's wife</x:v>
      </x:c>
      <x:c r="G43" s="25" t="str">
        <x:v>Female</x:v>
      </x:c>
      <x:c r="H43" s="25" t="str">
        <x:v>N/A</x:v>
      </x:c>
      <x:c r="I43" s="25" t="str">
        <x:v>बुहारी</x:v>
      </x:c>
      <x:c r="J43" s="25" t="str">
        <x:v>buhārī</x:v>
      </x:c>
      <x:c r="K43" s="25" t="str">
        <x:v>Daughter-in-law</x:v>
      </x:c>
      <x:c r="L43" s="25" t="str">
        <x:v>ससुरा/सासू</x:v>
      </x:c>
      <x:c r="M43" s="25" t="str">
        <x:v>Marriage</x:v>
      </x:c>
      <x:c r="N43" s="25" t="str">
        <x:v>Common standard</x:v>
      </x:c>
      <x:c r="O43" s="25" t="str">
        <x:v>छोराबुहारी</x:v>
      </x:c>
      <x:c r="P43" s="25" t="str">
        <x:v>SRC-001; SRC-002</x:v>
      </x:c>
      <x:c r="Q43" s="31" t="str">
        <x:v>Academic support; community authority missing</x:v>
      </x:c>
      <x:c r="R43" s="33" t="str">
        <x:v>Expert validation required</x:v>
      </x:c>
      <x:c r="S43" s="31" t="str"/>
      <x:c r="T43" s="31" t="str"/>
      <x:c r="U43" s="25" t="str">
        <x:v>0.2</x:v>
      </x:c>
      <x:c r="V43" s="31" t="str"/>
      <x:c r="W43" s="31" t="str">
        <x:v>AI desk review only; not a cultural approval</x:v>
      </x:c>
      <x:c r="X43" s="35" t="str">
        <x:v>Supported as common Standard Nepali candidate</x:v>
      </x:c>
      <x:c r="Y43" s="35" t="str">
        <x:v>High</x:v>
      </x:c>
      <x:c r="Z43" s="35" t="str">
        <x:v>Implement only behind approval gate</x:v>
      </x:c>
      <x:c r="AA43" s="36" t="str">
        <x:v>Adhikari cultural reviewer + separate senior final approver</x:v>
      </x:c>
    </x:row>
    <x:row r="44">
      <x:c r="A44" s="24" t="str">
        <x:v>NS-040</x:v>
      </x:c>
      <x:c r="B44" s="25" t="str">
        <x:v>Child spouse</x:v>
      </x:c>
      <x:c r="C44" s="25" t="str">
        <x:v>-1</x:v>
      </x:c>
      <x:c r="D44" s="25" t="str">
        <x:v>Descendant</x:v>
      </x:c>
      <x:c r="E44" s="25" t="str">
        <x:v>E-D-H</x:v>
      </x:c>
      <x:c r="F44" s="25" t="str">
        <x:v>Daughter's husband</x:v>
      </x:c>
      <x:c r="G44" s="25" t="str">
        <x:v>Male</x:v>
      </x:c>
      <x:c r="H44" s="25" t="str">
        <x:v>N/A</x:v>
      </x:c>
      <x:c r="I44" s="25" t="str">
        <x:v>ज्वाइँ</x:v>
      </x:c>
      <x:c r="J44" s="25" t="str">
        <x:v>jvāĩ</x:v>
      </x:c>
      <x:c r="K44" s="25" t="str">
        <x:v>Son-in-law</x:v>
      </x:c>
      <x:c r="L44" s="25" t="str">
        <x:v>ससुरा/सासू</x:v>
      </x:c>
      <x:c r="M44" s="25" t="str">
        <x:v>Marriage</x:v>
      </x:c>
      <x:c r="N44" s="25" t="str">
        <x:v>Common standard</x:v>
      </x:c>
      <x:c r="O44" s="25" t="str">
        <x:v>जमाइँ</x:v>
      </x:c>
      <x:c r="P44" s="25" t="str">
        <x:v>SRC-001; SRC-002</x:v>
      </x:c>
      <x:c r="Q44" s="31" t="str">
        <x:v>Academic support; community authority missing</x:v>
      </x:c>
      <x:c r="R44" s="33" t="str">
        <x:v>Expert validation required</x:v>
      </x:c>
      <x:c r="S44" s="31" t="str"/>
      <x:c r="T44" s="31" t="str"/>
      <x:c r="U44" s="25" t="str">
        <x:v>0.2</x:v>
      </x:c>
      <x:c r="V44" s="31" t="str"/>
      <x:c r="W44" s="31" t="str">
        <x:v>AI desk review only; not a cultural approval</x:v>
      </x:c>
      <x:c r="X44" s="35" t="str">
        <x:v>Supported as common Standard Nepali candidate</x:v>
      </x:c>
      <x:c r="Y44" s="35" t="str">
        <x:v>High</x:v>
      </x:c>
      <x:c r="Z44" s="35" t="str">
        <x:v>Implement only behind approval gate</x:v>
      </x:c>
      <x:c r="AA44" s="36" t="str">
        <x:v>Adhikari cultural reviewer + separate senior final approver</x:v>
      </x:c>
    </x:row>
    <x:row r="45">
      <x:c r="A45" s="24" t="str">
        <x:v>NS-041</x:v>
      </x:c>
      <x:c r="B45" s="25" t="str">
        <x:v>Spouse parent</x:v>
      </x:c>
      <x:c r="C45" s="25" t="str">
        <x:v>+1</x:v>
      </x:c>
      <x:c r="D45" s="25" t="str">
        <x:v>In-law</x:v>
      </x:c>
      <x:c r="E45" s="25" t="str">
        <x:v>E-SP-F</x:v>
      </x:c>
      <x:c r="F45" s="25" t="str">
        <x:v>Spouse's father</x:v>
      </x:c>
      <x:c r="G45" s="25" t="str">
        <x:v>Male</x:v>
      </x:c>
      <x:c r="H45" s="25" t="str">
        <x:v>N/A</x:v>
      </x:c>
      <x:c r="I45" s="25" t="str">
        <x:v>ससुरा</x:v>
      </x:c>
      <x:c r="J45" s="25" t="str">
        <x:v>sasurā</x:v>
      </x:c>
      <x:c r="K45" s="25" t="str">
        <x:v>Father-in-law</x:v>
      </x:c>
      <x:c r="L45" s="25" t="str">
        <x:v>ज्वाइँ/बुहारी</x:v>
      </x:c>
      <x:c r="M45" s="25" t="str">
        <x:v>Marriage</x:v>
      </x:c>
      <x:c r="N45" s="25" t="str">
        <x:v>Common standard</x:v>
      </x:c>
      <x:c r="O45" s="25" t="str">
        <x:v>ससुराबुबा</x:v>
      </x:c>
      <x:c r="P45" s="25" t="str">
        <x:v>SRC-001; SRC-002</x:v>
      </x:c>
      <x:c r="Q45" s="31" t="str">
        <x:v>Academic support; community authority missing</x:v>
      </x:c>
      <x:c r="R45" s="33" t="str">
        <x:v>Expert validation required</x:v>
      </x:c>
      <x:c r="S45" s="31" t="str"/>
      <x:c r="T45" s="31" t="str"/>
      <x:c r="U45" s="25" t="str">
        <x:v>0.2</x:v>
      </x:c>
      <x:c r="V45" s="31" t="str"/>
      <x:c r="W45" s="31" t="str">
        <x:v>AI desk review only; not a cultural approval</x:v>
      </x:c>
      <x:c r="X45" s="35" t="str">
        <x:v>Supported as common Standard Nepali candidate</x:v>
      </x:c>
      <x:c r="Y45" s="35" t="str">
        <x:v>High</x:v>
      </x:c>
      <x:c r="Z45" s="35" t="str">
        <x:v>Implement only behind approval gate</x:v>
      </x:c>
      <x:c r="AA45" s="36" t="str">
        <x:v>Adhikari cultural reviewer + separate senior final approver</x:v>
      </x:c>
    </x:row>
    <x:row r="46">
      <x:c r="A46" s="24" t="str">
        <x:v>NS-042</x:v>
      </x:c>
      <x:c r="B46" s="25" t="str">
        <x:v>Spouse parent</x:v>
      </x:c>
      <x:c r="C46" s="25" t="str">
        <x:v>+1</x:v>
      </x:c>
      <x:c r="D46" s="25" t="str">
        <x:v>In-law</x:v>
      </x:c>
      <x:c r="E46" s="25" t="str">
        <x:v>E-SP-M</x:v>
      </x:c>
      <x:c r="F46" s="25" t="str">
        <x:v>Spouse's mother</x:v>
      </x:c>
      <x:c r="G46" s="25" t="str">
        <x:v>Female</x:v>
      </x:c>
      <x:c r="H46" s="25" t="str">
        <x:v>N/A</x:v>
      </x:c>
      <x:c r="I46" s="25" t="str">
        <x:v>सासू</x:v>
      </x:c>
      <x:c r="J46" s="25" t="str">
        <x:v>sāsū</x:v>
      </x:c>
      <x:c r="K46" s="25" t="str">
        <x:v>Mother-in-law</x:v>
      </x:c>
      <x:c r="L46" s="25" t="str">
        <x:v>ज्वाइँ/बुहारी</x:v>
      </x:c>
      <x:c r="M46" s="25" t="str">
        <x:v>Marriage</x:v>
      </x:c>
      <x:c r="N46" s="25" t="str">
        <x:v>Common standard</x:v>
      </x:c>
      <x:c r="O46" s="25" t="str">
        <x:v>सासूआमा</x:v>
      </x:c>
      <x:c r="P46" s="25" t="str">
        <x:v>SRC-001; SRC-002</x:v>
      </x:c>
      <x:c r="Q46" s="31" t="str">
        <x:v>Academic support; community authority missing</x:v>
      </x:c>
      <x:c r="R46" s="33" t="str">
        <x:v>Expert validation required</x:v>
      </x:c>
      <x:c r="S46" s="31" t="str"/>
      <x:c r="T46" s="31" t="str"/>
      <x:c r="U46" s="25" t="str">
        <x:v>0.2</x:v>
      </x:c>
      <x:c r="V46" s="31" t="str"/>
      <x:c r="W46" s="31" t="str">
        <x:v>AI desk review only; not a cultural approval</x:v>
      </x:c>
      <x:c r="X46" s="35" t="str">
        <x:v>Supported as common Standard Nepali candidate</x:v>
      </x:c>
      <x:c r="Y46" s="35" t="str">
        <x:v>High</x:v>
      </x:c>
      <x:c r="Z46" s="35" t="str">
        <x:v>Implement only behind approval gate</x:v>
      </x:c>
      <x:c r="AA46" s="36" t="str">
        <x:v>Adhikari cultural reviewer + separate senior final approver</x:v>
      </x:c>
    </x:row>
    <x:row r="47">
      <x:c r="A47" s="24" t="str">
        <x:v>NS-043</x:v>
      </x:c>
      <x:c r="B47" s="25" t="str">
        <x:v>Husband sibling</x:v>
      </x:c>
      <x:c r="C47" s="25" t="str">
        <x:v>0</x:v>
      </x:c>
      <x:c r="D47" s="25" t="str">
        <x:v>In-law</x:v>
      </x:c>
      <x:c r="E47" s="25" t="str">
        <x:v>E-H-B(o)</x:v>
      </x:c>
      <x:c r="F47" s="25" t="str">
        <x:v>Husband's older brother</x:v>
      </x:c>
      <x:c r="G47" s="25" t="str">
        <x:v>Male</x:v>
      </x:c>
      <x:c r="H47" s="25" t="str">
        <x:v>Older</x:v>
      </x:c>
      <x:c r="I47" s="25" t="str">
        <x:v>जेठाजु</x:v>
      </x:c>
      <x:c r="J47" s="25" t="str">
        <x:v>jeṭhāju</x:v>
      </x:c>
      <x:c r="K47" s="25" t="str">
        <x:v>Husband's older brother</x:v>
      </x:c>
      <x:c r="L47" s="25" t="str">
        <x:v>बुहारी</x:v>
      </x:c>
      <x:c r="M47" s="25" t="str">
        <x:v>Marriage</x:v>
      </x:c>
      <x:c r="N47" s="25" t="str">
        <x:v>Common standard</x:v>
      </x:c>
      <x:c r="O47" s="25" t="str">
        <x:v>जेठाज्यू</x:v>
      </x:c>
      <x:c r="P47" s="25" t="str">
        <x:v>SRC-001; SRC-002</x:v>
      </x:c>
      <x:c r="Q47" s="31" t="str">
        <x:v>Academic support; community authority missing</x:v>
      </x:c>
      <x:c r="R47" s="33" t="str">
        <x:v>Expert validation required</x:v>
      </x:c>
      <x:c r="S47" s="31" t="str"/>
      <x:c r="T47" s="31" t="str"/>
      <x:c r="U47" s="25" t="str">
        <x:v>0.2</x:v>
      </x:c>
      <x:c r="V47" s="31" t="str"/>
      <x:c r="W47" s="31" t="str">
        <x:v>AI desk review only; not a cultural approval</x:v>
      </x:c>
      <x:c r="X47" s="35" t="str">
        <x:v>Supported with qualifier</x:v>
      </x:c>
      <x:c r="Y47" s="35" t="str">
        <x:v>Medium</x:v>
      </x:c>
      <x:c r="Z47" s="35" t="str">
        <x:v>Implement only behind approval gate</x:v>
      </x:c>
      <x:c r="AA47" s="36" t="str">
        <x:v>Adhikari cultural reviewer + separate senior final approver</x:v>
      </x:c>
    </x:row>
    <x:row r="48">
      <x:c r="A48" s="24" t="str">
        <x:v>NS-044</x:v>
      </x:c>
      <x:c r="B48" s="25" t="str">
        <x:v>Husband sibling</x:v>
      </x:c>
      <x:c r="C48" s="25" t="str">
        <x:v>0</x:v>
      </x:c>
      <x:c r="D48" s="25" t="str">
        <x:v>In-law</x:v>
      </x:c>
      <x:c r="E48" s="25" t="str">
        <x:v>E-H-B(y)</x:v>
      </x:c>
      <x:c r="F48" s="25" t="str">
        <x:v>Husband's younger brother</x:v>
      </x:c>
      <x:c r="G48" s="25" t="str">
        <x:v>Male</x:v>
      </x:c>
      <x:c r="H48" s="25" t="str">
        <x:v>Younger</x:v>
      </x:c>
      <x:c r="I48" s="25" t="str">
        <x:v>देवर</x:v>
      </x:c>
      <x:c r="J48" s="25" t="str">
        <x:v>devar</x:v>
      </x:c>
      <x:c r="K48" s="25" t="str">
        <x:v>Husband's younger brother</x:v>
      </x:c>
      <x:c r="L48" s="25" t="str">
        <x:v>भाउजू</x:v>
      </x:c>
      <x:c r="M48" s="25" t="str">
        <x:v>Marriage</x:v>
      </x:c>
      <x:c r="N48" s="25" t="str">
        <x:v>Common standard</x:v>
      </x:c>
      <x:c r="O48" s="25" t="str">
        <x:v>देवरबाबु</x:v>
      </x:c>
      <x:c r="P48" s="25" t="str">
        <x:v>SRC-001; SRC-002</x:v>
      </x:c>
      <x:c r="Q48" s="31" t="str">
        <x:v>Academic support; community authority missing</x:v>
      </x:c>
      <x:c r="R48" s="33" t="str">
        <x:v>Expert validation required</x:v>
      </x:c>
      <x:c r="S48" s="31" t="str"/>
      <x:c r="T48" s="31" t="str"/>
      <x:c r="U48" s="25" t="str">
        <x:v>0.2</x:v>
      </x:c>
      <x:c r="V48" s="31" t="str"/>
      <x:c r="W48" s="31" t="str">
        <x:v>AI desk review only; not a cultural approval</x:v>
      </x:c>
      <x:c r="X48" s="35" t="str">
        <x:v>Supported with qualifier</x:v>
      </x:c>
      <x:c r="Y48" s="35" t="str">
        <x:v>Medium</x:v>
      </x:c>
      <x:c r="Z48" s="35" t="str">
        <x:v>Implement only behind approval gate</x:v>
      </x:c>
      <x:c r="AA48" s="36" t="str">
        <x:v>Adhikari cultural reviewer + separate senior final approver</x:v>
      </x:c>
    </x:row>
    <x:row r="49">
      <x:c r="A49" s="24" t="str">
        <x:v>NS-045</x:v>
      </x:c>
      <x:c r="B49" s="25" t="str">
        <x:v>Husband sibling</x:v>
      </x:c>
      <x:c r="C49" s="25" t="str">
        <x:v>0</x:v>
      </x:c>
      <x:c r="D49" s="25" t="str">
        <x:v>In-law</x:v>
      </x:c>
      <x:c r="E49" s="25" t="str">
        <x:v>E-H-Z</x:v>
      </x:c>
      <x:c r="F49" s="25" t="str">
        <x:v>Husband's sister</x:v>
      </x:c>
      <x:c r="G49" s="25" t="str">
        <x:v>Female</x:v>
      </x:c>
      <x:c r="H49" s="25" t="str">
        <x:v>N/A</x:v>
      </x:c>
      <x:c r="I49" s="25" t="str">
        <x:v>नन्द</x:v>
      </x:c>
      <x:c r="J49" s="25" t="str">
        <x:v>nanda</x:v>
      </x:c>
      <x:c r="K49" s="25" t="str">
        <x:v>Husband's sister</x:v>
      </x:c>
      <x:c r="L49" s="25" t="str">
        <x:v>भाउजू</x:v>
      </x:c>
      <x:c r="M49" s="25" t="str">
        <x:v>Marriage</x:v>
      </x:c>
      <x:c r="N49" s="25" t="str">
        <x:v>Common standard</x:v>
      </x:c>
      <x:c r="O49" s="25" t="str">
        <x:v>नन्दिनी</x:v>
      </x:c>
      <x:c r="P49" s="25" t="str">
        <x:v>SRC-001; SRC-002</x:v>
      </x:c>
      <x:c r="Q49" s="31" t="str">
        <x:v>Academic support; community authority missing</x:v>
      </x:c>
      <x:c r="R49" s="33" t="str">
        <x:v>Expert validation required</x:v>
      </x:c>
      <x:c r="S49" s="31" t="str"/>
      <x:c r="T49" s="31" t="str"/>
      <x:c r="U49" s="25" t="str">
        <x:v>0.2</x:v>
      </x:c>
      <x:c r="V49" s="31" t="str"/>
      <x:c r="W49" s="31" t="str">
        <x:v>AI desk review only; not a cultural approval</x:v>
      </x:c>
      <x:c r="X49" s="35" t="str">
        <x:v>Supported with qualifier</x:v>
      </x:c>
      <x:c r="Y49" s="35" t="str">
        <x:v>Medium</x:v>
      </x:c>
      <x:c r="Z49" s="35" t="str">
        <x:v>Implement only behind approval gate</x:v>
      </x:c>
      <x:c r="AA49" s="36" t="str">
        <x:v>Adhikari cultural reviewer + separate senior final approver</x:v>
      </x:c>
    </x:row>
    <x:row r="50">
      <x:c r="A50" s="24" t="str">
        <x:v>NS-046</x:v>
      </x:c>
      <x:c r="B50" s="25" t="str">
        <x:v>Husband sibling spouse</x:v>
      </x:c>
      <x:c r="C50" s="25" t="str">
        <x:v>0</x:v>
      </x:c>
      <x:c r="D50" s="25" t="str">
        <x:v>In-law</x:v>
      </x:c>
      <x:c r="E50" s="25" t="str">
        <x:v>E-H-B(o)-W</x:v>
      </x:c>
      <x:c r="F50" s="25" t="str">
        <x:v>Husband's older brother's wife</x:v>
      </x:c>
      <x:c r="G50" s="25" t="str">
        <x:v>Female</x:v>
      </x:c>
      <x:c r="H50" s="25" t="str">
        <x:v>N/A</x:v>
      </x:c>
      <x:c r="I50" s="25" t="str">
        <x:v>जेठानी</x:v>
      </x:c>
      <x:c r="J50" s="25" t="str">
        <x:v>jeṭhānī</x:v>
      </x:c>
      <x:c r="K50" s="25" t="str">
        <x:v>Co-sister (elder brother's wife)</x:v>
      </x:c>
      <x:c r="L50" s="25" t="str">
        <x:v>देवरानी</x:v>
      </x:c>
      <x:c r="M50" s="25" t="str">
        <x:v>Marriage</x:v>
      </x:c>
      <x:c r="N50" s="25" t="str">
        <x:v>Requires validation</x:v>
      </x:c>
      <x:c r="O50" s="25" t="str">
        <x:v>—</x:v>
      </x:c>
      <x:c r="P50" s="25" t="str">
        <x:v>SRC-001; SRC-002</x:v>
      </x:c>
      <x:c r="Q50" s="31" t="str">
        <x:v>Academic support; community authority missing</x:v>
      </x:c>
      <x:c r="R50" s="33" t="str">
        <x:v>Expert validation required</x:v>
      </x:c>
      <x:c r="S50" s="31" t="str"/>
      <x:c r="T50" s="31" t="str"/>
      <x:c r="U50" s="25" t="str">
        <x:v>0.2</x:v>
      </x:c>
      <x:c r="V50" s="31" t="str"/>
      <x:c r="W50" s="31" t="str">
        <x:v>AI desk review only; not a cultural approval</x:v>
      </x:c>
      <x:c r="X50" s="35" t="str">
        <x:v>Supported with qualifier</x:v>
      </x:c>
      <x:c r="Y50" s="35" t="str">
        <x:v>Medium</x:v>
      </x:c>
      <x:c r="Z50" s="35" t="str">
        <x:v>Implement only behind approval gate</x:v>
      </x:c>
      <x:c r="AA50" s="36" t="str">
        <x:v>Adhikari cultural reviewer + separate senior final approver</x:v>
      </x:c>
    </x:row>
    <x:row r="51">
      <x:c r="A51" s="24" t="str">
        <x:v>NS-047</x:v>
      </x:c>
      <x:c r="B51" s="25" t="str">
        <x:v>Husband sibling spouse</x:v>
      </x:c>
      <x:c r="C51" s="25" t="str">
        <x:v>0</x:v>
      </x:c>
      <x:c r="D51" s="25" t="str">
        <x:v>In-law</x:v>
      </x:c>
      <x:c r="E51" s="25" t="str">
        <x:v>E-H-B(y)-W</x:v>
      </x:c>
      <x:c r="F51" s="25" t="str">
        <x:v>Husband's younger brother's wife</x:v>
      </x:c>
      <x:c r="G51" s="25" t="str">
        <x:v>Female</x:v>
      </x:c>
      <x:c r="H51" s="25" t="str">
        <x:v>N/A</x:v>
      </x:c>
      <x:c r="I51" s="25" t="str">
        <x:v>देवरानी</x:v>
      </x:c>
      <x:c r="J51" s="25" t="str">
        <x:v>devarānī</x:v>
      </x:c>
      <x:c r="K51" s="25" t="str">
        <x:v>Co-sister (younger brother's wife)</x:v>
      </x:c>
      <x:c r="L51" s="25" t="str">
        <x:v>जेठानी</x:v>
      </x:c>
      <x:c r="M51" s="25" t="str">
        <x:v>Marriage</x:v>
      </x:c>
      <x:c r="N51" s="25" t="str">
        <x:v>Requires validation</x:v>
      </x:c>
      <x:c r="O51" s="25" t="str">
        <x:v>—</x:v>
      </x:c>
      <x:c r="P51" s="25" t="str">
        <x:v>SRC-001; SRC-002</x:v>
      </x:c>
      <x:c r="Q51" s="31" t="str">
        <x:v>Academic support; community authority missing</x:v>
      </x:c>
      <x:c r="R51" s="33" t="str">
        <x:v>Expert validation required</x:v>
      </x:c>
      <x:c r="S51" s="31" t="str"/>
      <x:c r="T51" s="31" t="str"/>
      <x:c r="U51" s="25" t="str">
        <x:v>0.2</x:v>
      </x:c>
      <x:c r="V51" s="31" t="str"/>
      <x:c r="W51" s="31" t="str">
        <x:v>AI desk review only; not a cultural approval</x:v>
      </x:c>
      <x:c r="X51" s="35" t="str">
        <x:v>Supported with qualifier</x:v>
      </x:c>
      <x:c r="Y51" s="35" t="str">
        <x:v>Medium</x:v>
      </x:c>
      <x:c r="Z51" s="35" t="str">
        <x:v>Implement only behind approval gate</x:v>
      </x:c>
      <x:c r="AA51" s="36" t="str">
        <x:v>Adhikari cultural reviewer + separate senior final approver</x:v>
      </x:c>
    </x:row>
    <x:row r="52">
      <x:c r="A52" s="24" t="str">
        <x:v>NS-048</x:v>
      </x:c>
      <x:c r="B52" s="25" t="str">
        <x:v>Wife sibling</x:v>
      </x:c>
      <x:c r="C52" s="25" t="str">
        <x:v>0</x:v>
      </x:c>
      <x:c r="D52" s="25" t="str">
        <x:v>In-law</x:v>
      </x:c>
      <x:c r="E52" s="25" t="str">
        <x:v>E-W-B(o)</x:v>
      </x:c>
      <x:c r="F52" s="25" t="str">
        <x:v>Wife's older brother</x:v>
      </x:c>
      <x:c r="G52" s="25" t="str">
        <x:v>Male</x:v>
      </x:c>
      <x:c r="H52" s="25" t="str">
        <x:v>Older</x:v>
      </x:c>
      <x:c r="I52" s="25" t="str">
        <x:v>जेठान</x:v>
      </x:c>
      <x:c r="J52" s="25" t="str">
        <x:v>jeṭhān</x:v>
      </x:c>
      <x:c r="K52" s="25" t="str">
        <x:v>Wife's older brother</x:v>
      </x:c>
      <x:c r="L52" s="25" t="str">
        <x:v>भिनाजु</x:v>
      </x:c>
      <x:c r="M52" s="25" t="str">
        <x:v>Marriage</x:v>
      </x:c>
      <x:c r="N52" s="25" t="str">
        <x:v>Requires validation</x:v>
      </x:c>
      <x:c r="O52" s="25" t="str">
        <x:v>जेठानदाइ</x:v>
      </x:c>
      <x:c r="P52" s="25" t="str">
        <x:v>SRC-001; SRC-002</x:v>
      </x:c>
      <x:c r="Q52" s="31" t="str">
        <x:v>Academic support; community authority missing</x:v>
      </x:c>
      <x:c r="R52" s="33" t="str">
        <x:v>Expert validation required</x:v>
      </x:c>
      <x:c r="S52" s="31" t="str"/>
      <x:c r="T52" s="31" t="str"/>
      <x:c r="U52" s="25" t="str">
        <x:v>0.2</x:v>
      </x:c>
      <x:c r="V52" s="31" t="str"/>
      <x:c r="W52" s="31" t="str">
        <x:v>AI desk review only; not a cultural approval</x:v>
      </x:c>
      <x:c r="X52" s="35" t="str">
        <x:v>Supported with qualifier</x:v>
      </x:c>
      <x:c r="Y52" s="35" t="str">
        <x:v>Medium</x:v>
      </x:c>
      <x:c r="Z52" s="35" t="str">
        <x:v>Implement only behind approval gate</x:v>
      </x:c>
      <x:c r="AA52" s="36" t="str">
        <x:v>Adhikari cultural reviewer + separate senior final approver</x:v>
      </x:c>
    </x:row>
    <x:row r="53">
      <x:c r="A53" s="24" t="str">
        <x:v>NS-049</x:v>
      </x:c>
      <x:c r="B53" s="25" t="str">
        <x:v>Wife sibling</x:v>
      </x:c>
      <x:c r="C53" s="25" t="str">
        <x:v>0</x:v>
      </x:c>
      <x:c r="D53" s="25" t="str">
        <x:v>In-law</x:v>
      </x:c>
      <x:c r="E53" s="25" t="str">
        <x:v>E-W-B(y)</x:v>
      </x:c>
      <x:c r="F53" s="25" t="str">
        <x:v>Wife's younger brother</x:v>
      </x:c>
      <x:c r="G53" s="25" t="str">
        <x:v>Male</x:v>
      </x:c>
      <x:c r="H53" s="25" t="str">
        <x:v>Younger</x:v>
      </x:c>
      <x:c r="I53" s="25" t="str">
        <x:v>सालो</x:v>
      </x:c>
      <x:c r="J53" s="25" t="str">
        <x:v>sālo</x:v>
      </x:c>
      <x:c r="K53" s="25" t="str">
        <x:v>Wife's younger brother</x:v>
      </x:c>
      <x:c r="L53" s="25" t="str">
        <x:v>भिनाजु</x:v>
      </x:c>
      <x:c r="M53" s="25" t="str">
        <x:v>Marriage</x:v>
      </x:c>
      <x:c r="N53" s="25" t="str">
        <x:v>Common standard</x:v>
      </x:c>
      <x:c r="O53" s="25" t="str">
        <x:v>सालाबाबु</x:v>
      </x:c>
      <x:c r="P53" s="25" t="str">
        <x:v>SRC-001; SRC-002</x:v>
      </x:c>
      <x:c r="Q53" s="31" t="str">
        <x:v>Academic support; community authority missing</x:v>
      </x:c>
      <x:c r="R53" s="33" t="str">
        <x:v>Expert validation required</x:v>
      </x:c>
      <x:c r="S53" s="31" t="str"/>
      <x:c r="T53" s="31" t="str"/>
      <x:c r="U53" s="25" t="str">
        <x:v>0.2</x:v>
      </x:c>
      <x:c r="V53" s="31" t="str"/>
      <x:c r="W53" s="31" t="str">
        <x:v>AI desk review only; not a cultural approval</x:v>
      </x:c>
      <x:c r="X53" s="35" t="str">
        <x:v>Supported with qualifier</x:v>
      </x:c>
      <x:c r="Y53" s="35" t="str">
        <x:v>Medium</x:v>
      </x:c>
      <x:c r="Z53" s="35" t="str">
        <x:v>Implement only behind approval gate</x:v>
      </x:c>
      <x:c r="AA53" s="36" t="str">
        <x:v>Adhikari cultural reviewer + separate senior final approver</x:v>
      </x:c>
    </x:row>
    <x:row r="54">
      <x:c r="A54" s="24" t="str">
        <x:v>NS-050</x:v>
      </x:c>
      <x:c r="B54" s="25" t="str">
        <x:v>Wife sibling</x:v>
      </x:c>
      <x:c r="C54" s="25" t="str">
        <x:v>0</x:v>
      </x:c>
      <x:c r="D54" s="25" t="str">
        <x:v>In-law</x:v>
      </x:c>
      <x:c r="E54" s="25" t="str">
        <x:v>E-W-Z(o)</x:v>
      </x:c>
      <x:c r="F54" s="25" t="str">
        <x:v>Wife's older sister</x:v>
      </x:c>
      <x:c r="G54" s="25" t="str">
        <x:v>Female</x:v>
      </x:c>
      <x:c r="H54" s="25" t="str">
        <x:v>Older</x:v>
      </x:c>
      <x:c r="I54" s="25" t="str">
        <x:v>जेठी साली</x:v>
      </x:c>
      <x:c r="J54" s="25" t="str">
        <x:v>jeṭhī sālī</x:v>
      </x:c>
      <x:c r="K54" s="25" t="str">
        <x:v>Wife's older sister</x:v>
      </x:c>
      <x:c r="L54" s="25" t="str">
        <x:v>भिनाजु</x:v>
      </x:c>
      <x:c r="M54" s="25" t="str">
        <x:v>Marriage</x:v>
      </x:c>
      <x:c r="N54" s="25" t="str">
        <x:v>Requires validation</x:v>
      </x:c>
      <x:c r="O54" s="25" t="str">
        <x:v>श्रीमतीकी दिदी</x:v>
      </x:c>
      <x:c r="P54" s="25" t="str">
        <x:v>SRC-001; SRC-002</x:v>
      </x:c>
      <x:c r="Q54" s="31" t="str">
        <x:v>Academic support; community authority missing</x:v>
      </x:c>
      <x:c r="R54" s="33" t="str">
        <x:v>Expert validation required</x:v>
      </x:c>
      <x:c r="S54" s="31" t="str"/>
      <x:c r="T54" s="31" t="str"/>
      <x:c r="U54" s="25" t="str">
        <x:v>0.2</x:v>
      </x:c>
      <x:c r="V54" s="31" t="str"/>
      <x:c r="W54" s="31" t="str">
        <x:v>AI desk review only; not a cultural approval</x:v>
      </x:c>
      <x:c r="X54" s="35" t="str">
        <x:v>Supported with qualifier</x:v>
      </x:c>
      <x:c r="Y54" s="35" t="str">
        <x:v>Medium</x:v>
      </x:c>
      <x:c r="Z54" s="35" t="str">
        <x:v>Implement only behind approval gate</x:v>
      </x:c>
      <x:c r="AA54" s="36" t="str">
        <x:v>Adhikari cultural reviewer + separate senior final approver</x:v>
      </x:c>
    </x:row>
    <x:row r="55">
      <x:c r="A55" s="24" t="str">
        <x:v>NS-051</x:v>
      </x:c>
      <x:c r="B55" s="25" t="str">
        <x:v>Wife sibling</x:v>
      </x:c>
      <x:c r="C55" s="25" t="str">
        <x:v>0</x:v>
      </x:c>
      <x:c r="D55" s="25" t="str">
        <x:v>In-law</x:v>
      </x:c>
      <x:c r="E55" s="25" t="str">
        <x:v>E-W-Z(y)</x:v>
      </x:c>
      <x:c r="F55" s="25" t="str">
        <x:v>Wife's younger sister</x:v>
      </x:c>
      <x:c r="G55" s="25" t="str">
        <x:v>Female</x:v>
      </x:c>
      <x:c r="H55" s="25" t="str">
        <x:v>Younger</x:v>
      </x:c>
      <x:c r="I55" s="25" t="str">
        <x:v>साली</x:v>
      </x:c>
      <x:c r="J55" s="25" t="str">
        <x:v>sālī</x:v>
      </x:c>
      <x:c r="K55" s="25" t="str">
        <x:v>Wife's younger sister</x:v>
      </x:c>
      <x:c r="L55" s="25" t="str">
        <x:v>भिनाजु</x:v>
      </x:c>
      <x:c r="M55" s="25" t="str">
        <x:v>Marriage</x:v>
      </x:c>
      <x:c r="N55" s="25" t="str">
        <x:v>Common standard</x:v>
      </x:c>
      <x:c r="O55" s="25" t="str">
        <x:v>कान्छी साली</x:v>
      </x:c>
      <x:c r="P55" s="25" t="str">
        <x:v>SRC-001; SRC-002</x:v>
      </x:c>
      <x:c r="Q55" s="31" t="str">
        <x:v>Academic support; community authority missing</x:v>
      </x:c>
      <x:c r="R55" s="33" t="str">
        <x:v>Expert validation required</x:v>
      </x:c>
      <x:c r="S55" s="31" t="str"/>
      <x:c r="T55" s="31" t="str"/>
      <x:c r="U55" s="25" t="str">
        <x:v>0.2</x:v>
      </x:c>
      <x:c r="V55" s="31" t="str"/>
      <x:c r="W55" s="31" t="str">
        <x:v>AI desk review only; not a cultural approval</x:v>
      </x:c>
      <x:c r="X55" s="35" t="str">
        <x:v>Supported with qualifier</x:v>
      </x:c>
      <x:c r="Y55" s="35" t="str">
        <x:v>Medium</x:v>
      </x:c>
      <x:c r="Z55" s="35" t="str">
        <x:v>Implement only behind approval gate</x:v>
      </x:c>
      <x:c r="AA55" s="36" t="str">
        <x:v>Adhikari cultural reviewer + separate senior final approver</x:v>
      </x:c>
    </x:row>
    <x:row r="56">
      <x:c r="A56" s="24" t="str">
        <x:v>NS-052</x:v>
      </x:c>
      <x:c r="B56" s="25" t="str">
        <x:v>Co-parent-in-law</x:v>
      </x:c>
      <x:c r="C56" s="25" t="str">
        <x:v>0</x:v>
      </x:c>
      <x:c r="D56" s="25" t="str">
        <x:v>Affinal</x:v>
      </x:c>
      <x:c r="E56" s="25" t="str">
        <x:v>E-CHILD-SP-PARENT</x:v>
      </x:c>
      <x:c r="F56" s="25" t="str">
        <x:v>Child's spouse's father</x:v>
      </x:c>
      <x:c r="G56" s="25" t="str">
        <x:v>Male</x:v>
      </x:c>
      <x:c r="H56" s="25" t="str">
        <x:v>N/A</x:v>
      </x:c>
      <x:c r="I56" s="25" t="str">
        <x:v>सम्धी</x:v>
      </x:c>
      <x:c r="J56" s="25" t="str">
        <x:v>samdhī</x:v>
      </x:c>
      <x:c r="K56" s="25" t="str">
        <x:v>Co-father-in-law</x:v>
      </x:c>
      <x:c r="L56" s="25" t="str">
        <x:v>सम्धी</x:v>
      </x:c>
      <x:c r="M56" s="25" t="str">
        <x:v>Marriage</x:v>
      </x:c>
      <x:c r="N56" s="25" t="str">
        <x:v>Common standard</x:v>
      </x:c>
      <x:c r="O56" s="25" t="str">
        <x:v>सम्धिज्यू</x:v>
      </x:c>
      <x:c r="P56" s="25" t="str">
        <x:v>SRC-001; SRC-002</x:v>
      </x:c>
      <x:c r="Q56" s="31" t="str">
        <x:v>Academic support; community authority missing</x:v>
      </x:c>
      <x:c r="R56" s="33" t="str">
        <x:v>Expert validation required</x:v>
      </x:c>
      <x:c r="S56" s="31" t="str"/>
      <x:c r="T56" s="31" t="str"/>
      <x:c r="U56" s="25" t="str">
        <x:v>0.2</x:v>
      </x:c>
      <x:c r="V56" s="31" t="str"/>
      <x:c r="W56" s="31" t="str">
        <x:v>AI desk review only; not a cultural approval</x:v>
      </x:c>
      <x:c r="X56" s="35" t="str">
        <x:v>Supported with qualifier</x:v>
      </x:c>
      <x:c r="Y56" s="35" t="str">
        <x:v>Medium</x:v>
      </x:c>
      <x:c r="Z56" s="35" t="str">
        <x:v>Implement only behind approval gate</x:v>
      </x:c>
      <x:c r="AA56" s="36" t="str">
        <x:v>Adhikari cultural reviewer + separate senior final approver</x:v>
      </x:c>
    </x:row>
    <x:row r="57">
      <x:c r="A57" s="24" t="str">
        <x:v>NS-053</x:v>
      </x:c>
      <x:c r="B57" s="25" t="str">
        <x:v>Co-parent-in-law</x:v>
      </x:c>
      <x:c r="C57" s="25" t="str">
        <x:v>0</x:v>
      </x:c>
      <x:c r="D57" s="25" t="str">
        <x:v>Affinal</x:v>
      </x:c>
      <x:c r="E57" s="25" t="str">
        <x:v>E-CHILD-SP-PARENT</x:v>
      </x:c>
      <x:c r="F57" s="25" t="str">
        <x:v>Child's spouse's mother</x:v>
      </x:c>
      <x:c r="G57" s="25" t="str">
        <x:v>Female</x:v>
      </x:c>
      <x:c r="H57" s="25" t="str">
        <x:v>N/A</x:v>
      </x:c>
      <x:c r="I57" s="25" t="str">
        <x:v>सम्धिनी</x:v>
      </x:c>
      <x:c r="J57" s="25" t="str">
        <x:v>samdhinī</x:v>
      </x:c>
      <x:c r="K57" s="25" t="str">
        <x:v>Co-mother-in-law</x:v>
      </x:c>
      <x:c r="L57" s="25" t="str">
        <x:v>सम्धिनी</x:v>
      </x:c>
      <x:c r="M57" s="25" t="str">
        <x:v>Marriage</x:v>
      </x:c>
      <x:c r="N57" s="25" t="str">
        <x:v>Common standard</x:v>
      </x:c>
      <x:c r="O57" s="25" t="str">
        <x:v>सम्धिनीज्यू</x:v>
      </x:c>
      <x:c r="P57" s="25" t="str">
        <x:v>SRC-001; SRC-002</x:v>
      </x:c>
      <x:c r="Q57" s="31" t="str">
        <x:v>Academic support; community authority missing</x:v>
      </x:c>
      <x:c r="R57" s="33" t="str">
        <x:v>Expert validation required</x:v>
      </x:c>
      <x:c r="S57" s="31" t="str"/>
      <x:c r="T57" s="31" t="str"/>
      <x:c r="U57" s="25" t="str">
        <x:v>0.2</x:v>
      </x:c>
      <x:c r="V57" s="31" t="str"/>
      <x:c r="W57" s="31" t="str">
        <x:v>AI desk review only; not a cultural approval</x:v>
      </x:c>
      <x:c r="X57" s="35" t="str">
        <x:v>Supported with qualifier</x:v>
      </x:c>
      <x:c r="Y57" s="35" t="str">
        <x:v>Medium</x:v>
      </x:c>
      <x:c r="Z57" s="35" t="str">
        <x:v>Implement only behind approval gate</x:v>
      </x:c>
      <x:c r="AA57" s="36" t="str">
        <x:v>Adhikari cultural reviewer + separate senior final approver</x:v>
      </x:c>
    </x:row>
    <x:row r="58">
      <x:c r="A58" s="24" t="str">
        <x:v>NS-054</x:v>
      </x:c>
      <x:c r="B58" s="25" t="str">
        <x:v>Cousin</x:v>
      </x:c>
      <x:c r="C58" s="25" t="str">
        <x:v>0</x:v>
      </x:c>
      <x:c r="D58" s="25" t="str">
        <x:v>Paternal</x:v>
      </x:c>
      <x:c r="E58" s="25" t="str">
        <x:v>E-F-B-CHILD</x:v>
      </x:c>
      <x:c r="F58" s="25" t="str">
        <x:v>Paternal uncle's child</x:v>
      </x:c>
      <x:c r="G58" s="25" t="str">
        <x:v>Any</x:v>
      </x:c>
      <x:c r="H58" s="25" t="str">
        <x:v>Age-sensitive</x:v>
      </x:c>
      <x:c r="I58" s="25" t="str">
        <x:v>काकाको/ठूलोबुबाको छोरा वा छोरी</x:v>
      </x:c>
      <x:c r="J58" s="25" t="str">
        <x:v>—</x:v>
      </x:c>
      <x:c r="K58" s="25" t="str">
        <x:v>Paternal parallel cousin</x:v>
      </x:c>
      <x:c r="L58" s="25" t="str">
        <x:v>Path-dependent</x:v>
      </x:c>
      <x:c r="M58" s="25" t="str">
        <x:v>Biological</x:v>
      </x:c>
      <x:c r="N58" s="25" t="str">
        <x:v>Neutral fallback</x:v>
      </x:c>
      <x:c r="O58" s="25" t="str">
        <x:v>दाजु/भाइ/दिदी/बहिनी by age (validate)</x:v>
      </x:c>
      <x:c r="P58" s="25" t="str">
        <x:v>SRC-001; SRC-002</x:v>
      </x:c>
      <x:c r="Q58" s="31" t="str">
        <x:v>Academic support; community authority missing</x:v>
      </x:c>
      <x:c r="R58" s="33" t="str">
        <x:v>Expert validation required</x:v>
      </x:c>
      <x:c r="S58" s="31" t="str"/>
      <x:c r="T58" s="31" t="str"/>
      <x:c r="U58" s="25" t="str">
        <x:v>0.2</x:v>
      </x:c>
      <x:c r="V58" s="31" t="str"/>
      <x:c r="W58" s="31" t="str">
        <x:v>AI desk review only; not a cultural approval</x:v>
      </x:c>
      <x:c r="X58" s="35" t="str">
        <x:v>Culturally/legal sensitive — retain explicit descriptive label</x:v>
      </x:c>
      <x:c r="Y58" s="35" t="str">
        <x:v>Low</x:v>
      </x:c>
      <x:c r="Z58" s="35" t="str">
        <x:v>Do not automate as an equivalence; require verified edge/status</x:v>
      </x:c>
      <x:c r="AA58" s="36" t="str">
        <x:v>Relevant cultural authority; legal/privacy review where status is sensitive</x:v>
      </x:c>
    </x:row>
    <x:row r="59">
      <x:c r="A59" s="24" t="str">
        <x:v>NS-055</x:v>
      </x:c>
      <x:c r="B59" s="25" t="str">
        <x:v>Cousin</x:v>
      </x:c>
      <x:c r="C59" s="25" t="str">
        <x:v>0</x:v>
      </x:c>
      <x:c r="D59" s="25" t="str">
        <x:v>Paternal</x:v>
      </x:c>
      <x:c r="E59" s="25" t="str">
        <x:v>E-F-Z-CHILD</x:v>
      </x:c>
      <x:c r="F59" s="25" t="str">
        <x:v>Paternal aunt's child</x:v>
      </x:c>
      <x:c r="G59" s="25" t="str">
        <x:v>Any</x:v>
      </x:c>
      <x:c r="H59" s="25" t="str">
        <x:v>Age-sensitive</x:v>
      </x:c>
      <x:c r="I59" s="25" t="str">
        <x:v>फुपूको छोरा वा छोरी</x:v>
      </x:c>
      <x:c r="J59" s="25" t="str">
        <x:v>—</x:v>
      </x:c>
      <x:c r="K59" s="25" t="str">
        <x:v>Paternal cross-cousin</x:v>
      </x:c>
      <x:c r="L59" s="25" t="str">
        <x:v>Path-dependent</x:v>
      </x:c>
      <x:c r="M59" s="25" t="str">
        <x:v>Biological</x:v>
      </x:c>
      <x:c r="N59" s="25" t="str">
        <x:v>Neutral fallback</x:v>
      </x:c>
      <x:c r="O59" s="25" t="str">
        <x:v>दाजु/भाइ/दिदी/बहिनी by age (validate)</x:v>
      </x:c>
      <x:c r="P59" s="25" t="str">
        <x:v>SRC-001; SRC-002</x:v>
      </x:c>
      <x:c r="Q59" s="31" t="str">
        <x:v>Academic support; community authority missing</x:v>
      </x:c>
      <x:c r="R59" s="33" t="str">
        <x:v>Expert validation required</x:v>
      </x:c>
      <x:c r="S59" s="31" t="str"/>
      <x:c r="T59" s="31" t="str"/>
      <x:c r="U59" s="25" t="str">
        <x:v>0.2</x:v>
      </x:c>
      <x:c r="V59" s="31" t="str"/>
      <x:c r="W59" s="31" t="str">
        <x:v>AI desk review only; not a cultural approval</x:v>
      </x:c>
      <x:c r="X59" s="35" t="str">
        <x:v>Culturally/legal sensitive — retain explicit descriptive label</x:v>
      </x:c>
      <x:c r="Y59" s="35" t="str">
        <x:v>Low</x:v>
      </x:c>
      <x:c r="Z59" s="35" t="str">
        <x:v>Do not automate as an equivalence; require verified edge/status</x:v>
      </x:c>
      <x:c r="AA59" s="36" t="str">
        <x:v>Relevant cultural authority; legal/privacy review where status is sensitive</x:v>
      </x:c>
    </x:row>
    <x:row r="60">
      <x:c r="A60" s="24" t="str">
        <x:v>NS-056</x:v>
      </x:c>
      <x:c r="B60" s="25" t="str">
        <x:v>Cousin</x:v>
      </x:c>
      <x:c r="C60" s="25" t="str">
        <x:v>0</x:v>
      </x:c>
      <x:c r="D60" s="25" t="str">
        <x:v>Maternal</x:v>
      </x:c>
      <x:c r="E60" s="25" t="str">
        <x:v>E-M-B-CHILD</x:v>
      </x:c>
      <x:c r="F60" s="25" t="str">
        <x:v>Maternal uncle's child</x:v>
      </x:c>
      <x:c r="G60" s="25" t="str">
        <x:v>Any</x:v>
      </x:c>
      <x:c r="H60" s="25" t="str">
        <x:v>Age-sensitive</x:v>
      </x:c>
      <x:c r="I60" s="25" t="str">
        <x:v>मामाको छोरा वा छोरी</x:v>
      </x:c>
      <x:c r="J60" s="25" t="str">
        <x:v>—</x:v>
      </x:c>
      <x:c r="K60" s="25" t="str">
        <x:v>Maternal cross-cousin</x:v>
      </x:c>
      <x:c r="L60" s="25" t="str">
        <x:v>Path-dependent</x:v>
      </x:c>
      <x:c r="M60" s="25" t="str">
        <x:v>Biological</x:v>
      </x:c>
      <x:c r="N60" s="25" t="str">
        <x:v>Neutral fallback</x:v>
      </x:c>
      <x:c r="O60" s="25" t="str">
        <x:v>दाजु/भाइ/दिदी/बहिनी by age (validate)</x:v>
      </x:c>
      <x:c r="P60" s="25" t="str">
        <x:v>SRC-001; SRC-002</x:v>
      </x:c>
      <x:c r="Q60" s="31" t="str">
        <x:v>Academic support; community authority missing</x:v>
      </x:c>
      <x:c r="R60" s="33" t="str">
        <x:v>Expert validation required</x:v>
      </x:c>
      <x:c r="S60" s="31" t="str"/>
      <x:c r="T60" s="31" t="str"/>
      <x:c r="U60" s="25" t="str">
        <x:v>0.2</x:v>
      </x:c>
      <x:c r="V60" s="31" t="str"/>
      <x:c r="W60" s="31" t="str">
        <x:v>AI desk review only; not a cultural approval</x:v>
      </x:c>
      <x:c r="X60" s="35" t="str">
        <x:v>Culturally/legal sensitive — retain explicit descriptive label</x:v>
      </x:c>
      <x:c r="Y60" s="35" t="str">
        <x:v>Low</x:v>
      </x:c>
      <x:c r="Z60" s="35" t="str">
        <x:v>Do not automate as an equivalence; require verified edge/status</x:v>
      </x:c>
      <x:c r="AA60" s="36" t="str">
        <x:v>Relevant cultural authority; legal/privacy review where status is sensitive</x:v>
      </x:c>
    </x:row>
    <x:row r="61">
      <x:c r="A61" s="24" t="str">
        <x:v>NS-057</x:v>
      </x:c>
      <x:c r="B61" s="25" t="str">
        <x:v>Cousin</x:v>
      </x:c>
      <x:c r="C61" s="25" t="str">
        <x:v>0</x:v>
      </x:c>
      <x:c r="D61" s="25" t="str">
        <x:v>Maternal</x:v>
      </x:c>
      <x:c r="E61" s="25" t="str">
        <x:v>E-M-Z-CHILD</x:v>
      </x:c>
      <x:c r="F61" s="25" t="str">
        <x:v>Maternal aunt's child</x:v>
      </x:c>
      <x:c r="G61" s="25" t="str">
        <x:v>Any</x:v>
      </x:c>
      <x:c r="H61" s="25" t="str">
        <x:v>Age-sensitive</x:v>
      </x:c>
      <x:c r="I61" s="25" t="str">
        <x:v>आमाकी दिदी/बहिनीको छोरा वा छोरी</x:v>
      </x:c>
      <x:c r="J61" s="25" t="str">
        <x:v>—</x:v>
      </x:c>
      <x:c r="K61" s="25" t="str">
        <x:v>Maternal parallel cousin</x:v>
      </x:c>
      <x:c r="L61" s="25" t="str">
        <x:v>Path-dependent</x:v>
      </x:c>
      <x:c r="M61" s="25" t="str">
        <x:v>Biological</x:v>
      </x:c>
      <x:c r="N61" s="25" t="str">
        <x:v>Neutral fallback</x:v>
      </x:c>
      <x:c r="O61" s="25" t="str">
        <x:v>दाजु/भाइ/दिदी/बहिनी by age (validate)</x:v>
      </x:c>
      <x:c r="P61" s="25" t="str">
        <x:v>SRC-001; SRC-002</x:v>
      </x:c>
      <x:c r="Q61" s="31" t="str">
        <x:v>Academic support; community authority missing</x:v>
      </x:c>
      <x:c r="R61" s="33" t="str">
        <x:v>Expert validation required</x:v>
      </x:c>
      <x:c r="S61" s="31" t="str"/>
      <x:c r="T61" s="31" t="str"/>
      <x:c r="U61" s="25" t="str">
        <x:v>0.2</x:v>
      </x:c>
      <x:c r="V61" s="31" t="str"/>
      <x:c r="W61" s="31" t="str">
        <x:v>AI desk review only; not a cultural approval</x:v>
      </x:c>
      <x:c r="X61" s="35" t="str">
        <x:v>Culturally/legal sensitive — retain explicit descriptive label</x:v>
      </x:c>
      <x:c r="Y61" s="35" t="str">
        <x:v>Low</x:v>
      </x:c>
      <x:c r="Z61" s="35" t="str">
        <x:v>Do not automate as an equivalence; require verified edge/status</x:v>
      </x:c>
      <x:c r="AA61" s="36" t="str">
        <x:v>Relevant cultural authority; legal/privacy review where status is sensitive</x:v>
      </x:c>
    </x:row>
    <x:row r="62">
      <x:c r="A62" s="24" t="str">
        <x:v>NS-058</x:v>
      </x:c>
      <x:c r="B62" s="25" t="str">
        <x:v>Adoptive parent</x:v>
      </x:c>
      <x:c r="C62" s="25" t="str">
        <x:v>+1</x:v>
      </x:c>
      <x:c r="D62" s="25" t="str">
        <x:v>Legal/social</x:v>
      </x:c>
      <x:c r="E62" s="25" t="str">
        <x:v>E-AP(F)</x:v>
      </x:c>
      <x:c r="F62" s="25" t="str">
        <x:v>Adoptive father</x:v>
      </x:c>
      <x:c r="G62" s="25" t="str">
        <x:v>Male</x:v>
      </x:c>
      <x:c r="H62" s="25" t="str">
        <x:v>N/A</x:v>
      </x:c>
      <x:c r="I62" s="25" t="str">
        <x:v>दत्तक पिता</x:v>
      </x:c>
      <x:c r="J62" s="25" t="str">
        <x:v>dattak pitā</x:v>
      </x:c>
      <x:c r="K62" s="25" t="str">
        <x:v>Adoptive father</x:v>
      </x:c>
      <x:c r="L62" s="25" t="str">
        <x:v>दत्तक छोरा/छोरी</x:v>
      </x:c>
      <x:c r="M62" s="25" t="str">
        <x:v>Adoptive</x:v>
      </x:c>
      <x:c r="N62" s="25" t="str">
        <x:v>Use only with a verified adoption record</x:v>
      </x:c>
      <x:c r="O62" s="25" t="str">
        <x:v>धर्मपिता (customary/historical)</x:v>
      </x:c>
      <x:c r="P62" s="25" t="str">
        <x:v>SRC-001; SRC-002</x:v>
      </x:c>
      <x:c r="Q62" s="31" t="str">
        <x:v>Academic support; community authority missing</x:v>
      </x:c>
      <x:c r="R62" s="33" t="str">
        <x:v>Expert validation required</x:v>
      </x:c>
      <x:c r="S62" s="31" t="str"/>
      <x:c r="T62" s="31" t="str"/>
      <x:c r="U62" s="25" t="str">
        <x:v>0.2</x:v>
      </x:c>
      <x:c r="V62" s="31" t="str"/>
      <x:c r="W62" s="31" t="str">
        <x:v>AI desk review only; not a cultural approval</x:v>
      </x:c>
      <x:c r="X62" s="35" t="str">
        <x:v>Culturally/legal sensitive — retain explicit descriptive label</x:v>
      </x:c>
      <x:c r="Y62" s="35" t="str">
        <x:v>Low</x:v>
      </x:c>
      <x:c r="Z62" s="35" t="str">
        <x:v>Do not automate as an equivalence; require verified edge/status</x:v>
      </x:c>
      <x:c r="AA62" s="36" t="str">
        <x:v>Relevant cultural authority; legal/privacy review where status is sensitive</x:v>
      </x:c>
    </x:row>
    <x:row r="63">
      <x:c r="A63" s="24" t="str">
        <x:v>NS-059</x:v>
      </x:c>
      <x:c r="B63" s="25" t="str">
        <x:v>Adoptive parent</x:v>
      </x:c>
      <x:c r="C63" s="25" t="str">
        <x:v>+1</x:v>
      </x:c>
      <x:c r="D63" s="25" t="str">
        <x:v>Legal/social</x:v>
      </x:c>
      <x:c r="E63" s="25" t="str">
        <x:v>E-AP(M)</x:v>
      </x:c>
      <x:c r="F63" s="25" t="str">
        <x:v>Adoptive mother</x:v>
      </x:c>
      <x:c r="G63" s="25" t="str">
        <x:v>Female</x:v>
      </x:c>
      <x:c r="H63" s="25" t="str">
        <x:v>N/A</x:v>
      </x:c>
      <x:c r="I63" s="25" t="str">
        <x:v>दत्तक माता</x:v>
      </x:c>
      <x:c r="J63" s="25" t="str">
        <x:v>dattak mātā</x:v>
      </x:c>
      <x:c r="K63" s="25" t="str">
        <x:v>Adoptive mother</x:v>
      </x:c>
      <x:c r="L63" s="25" t="str">
        <x:v>दत्तक छोरा/छोरी</x:v>
      </x:c>
      <x:c r="M63" s="25" t="str">
        <x:v>Adoptive</x:v>
      </x:c>
      <x:c r="N63" s="25" t="str">
        <x:v>Use only with a verified adoption record</x:v>
      </x:c>
      <x:c r="O63" s="25" t="str">
        <x:v>धर्ममाता (customary/historical)</x:v>
      </x:c>
      <x:c r="P63" s="25" t="str">
        <x:v>SRC-001; SRC-002</x:v>
      </x:c>
      <x:c r="Q63" s="31" t="str">
        <x:v>Academic support; community authority missing</x:v>
      </x:c>
      <x:c r="R63" s="33" t="str">
        <x:v>Expert validation required</x:v>
      </x:c>
      <x:c r="S63" s="31" t="str"/>
      <x:c r="T63" s="31" t="str"/>
      <x:c r="U63" s="25" t="str">
        <x:v>0.2</x:v>
      </x:c>
      <x:c r="V63" s="31" t="str"/>
      <x:c r="W63" s="31" t="str">
        <x:v>AI desk review only; not a cultural approval</x:v>
      </x:c>
      <x:c r="X63" s="35" t="str">
        <x:v>Culturally/legal sensitive — retain explicit descriptive label</x:v>
      </x:c>
      <x:c r="Y63" s="35" t="str">
        <x:v>Low</x:v>
      </x:c>
      <x:c r="Z63" s="35" t="str">
        <x:v>Do not automate as an equivalence; require verified edge/status</x:v>
      </x:c>
      <x:c r="AA63" s="36" t="str">
        <x:v>Relevant cultural authority; legal/privacy review where status is sensitive</x:v>
      </x:c>
    </x:row>
    <x:row r="64">
      <x:c r="A64" s="24" t="str">
        <x:v>NS-060</x:v>
      </x:c>
      <x:c r="B64" s="25" t="str">
        <x:v>Adopted child</x:v>
      </x:c>
      <x:c r="C64" s="25" t="str">
        <x:v>-1</x:v>
      </x:c>
      <x:c r="D64" s="25" t="str">
        <x:v>Legal/social</x:v>
      </x:c>
      <x:c r="E64" s="25" t="str">
        <x:v>E-AC(S)</x:v>
      </x:c>
      <x:c r="F64" s="25" t="str">
        <x:v>Adopted son</x:v>
      </x:c>
      <x:c r="G64" s="25" t="str">
        <x:v>Male</x:v>
      </x:c>
      <x:c r="H64" s="25" t="str">
        <x:v>N/A</x:v>
      </x:c>
      <x:c r="I64" s="25" t="str">
        <x:v>दत्तक छोरा</x:v>
      </x:c>
      <x:c r="J64" s="25" t="str">
        <x:v>dattak chorā</x:v>
      </x:c>
      <x:c r="K64" s="25" t="str">
        <x:v>Adopted son</x:v>
      </x:c>
      <x:c r="L64" s="25" t="str">
        <x:v>दत्तक पिता/माता</x:v>
      </x:c>
      <x:c r="M64" s="25" t="str">
        <x:v>Adoptive</x:v>
      </x:c>
      <x:c r="N64" s="25" t="str">
        <x:v>Legal status must be verified; display privacy-controlled</x:v>
      </x:c>
      <x:c r="O64" s="25" t="str">
        <x:v>दत्तक पुत्र; धर्मपुत्र (historical)</x:v>
      </x:c>
      <x:c r="P64" s="25" t="str">
        <x:v>SRC-001; SRC-002</x:v>
      </x:c>
      <x:c r="Q64" s="31" t="str">
        <x:v>Academic support; community authority missing</x:v>
      </x:c>
      <x:c r="R64" s="33" t="str">
        <x:v>Expert validation required</x:v>
      </x:c>
      <x:c r="S64" s="31" t="str"/>
      <x:c r="T64" s="31" t="str"/>
      <x:c r="U64" s="25" t="str">
        <x:v>0.2</x:v>
      </x:c>
      <x:c r="V64" s="31" t="str"/>
      <x:c r="W64" s="31" t="str">
        <x:v>AI desk review only; not a cultural approval</x:v>
      </x:c>
      <x:c r="X64" s="35" t="str">
        <x:v>Culturally/legal sensitive — retain explicit descriptive label</x:v>
      </x:c>
      <x:c r="Y64" s="35" t="str">
        <x:v>Low</x:v>
      </x:c>
      <x:c r="Z64" s="35" t="str">
        <x:v>Do not automate as an equivalence; require verified edge/status</x:v>
      </x:c>
      <x:c r="AA64" s="36" t="str">
        <x:v>Relevant cultural authority; legal/privacy review where status is sensitive</x:v>
      </x:c>
    </x:row>
    <x:row r="65">
      <x:c r="A65" s="24" t="str">
        <x:v>NS-061</x:v>
      </x:c>
      <x:c r="B65" s="25" t="str">
        <x:v>Adopted child</x:v>
      </x:c>
      <x:c r="C65" s="25" t="str">
        <x:v>-1</x:v>
      </x:c>
      <x:c r="D65" s="25" t="str">
        <x:v>Legal/social</x:v>
      </x:c>
      <x:c r="E65" s="25" t="str">
        <x:v>E-AC(D)</x:v>
      </x:c>
      <x:c r="F65" s="25" t="str">
        <x:v>Adopted daughter</x:v>
      </x:c>
      <x:c r="G65" s="25" t="str">
        <x:v>Female</x:v>
      </x:c>
      <x:c r="H65" s="25" t="str">
        <x:v>N/A</x:v>
      </x:c>
      <x:c r="I65" s="25" t="str">
        <x:v>दत्तक छोरी</x:v>
      </x:c>
      <x:c r="J65" s="25" t="str">
        <x:v>dattak chorī</x:v>
      </x:c>
      <x:c r="K65" s="25" t="str">
        <x:v>Adopted daughter</x:v>
      </x:c>
      <x:c r="L65" s="25" t="str">
        <x:v>दत्तक पिता/माता</x:v>
      </x:c>
      <x:c r="M65" s="25" t="str">
        <x:v>Adoptive</x:v>
      </x:c>
      <x:c r="N65" s="25" t="str">
        <x:v>Legal status must be verified; display privacy-controlled</x:v>
      </x:c>
      <x:c r="O65" s="25" t="str">
        <x:v>दत्तक पुत्री; धर्मपुत्री (historical)</x:v>
      </x:c>
      <x:c r="P65" s="25" t="str">
        <x:v>SRC-001; SRC-002</x:v>
      </x:c>
      <x:c r="Q65" s="31" t="str">
        <x:v>Academic support; community authority missing</x:v>
      </x:c>
      <x:c r="R65" s="33" t="str">
        <x:v>Expert validation required</x:v>
      </x:c>
      <x:c r="S65" s="31" t="str"/>
      <x:c r="T65" s="31" t="str"/>
      <x:c r="U65" s="25" t="str">
        <x:v>0.2</x:v>
      </x:c>
      <x:c r="V65" s="31" t="str"/>
      <x:c r="W65" s="31" t="str">
        <x:v>AI desk review only; not a cultural approval</x:v>
      </x:c>
      <x:c r="X65" s="35" t="str">
        <x:v>Culturally/legal sensitive — retain explicit descriptive label</x:v>
      </x:c>
      <x:c r="Y65" s="35" t="str">
        <x:v>Low</x:v>
      </x:c>
      <x:c r="Z65" s="35" t="str">
        <x:v>Do not automate as an equivalence; require verified edge/status</x:v>
      </x:c>
      <x:c r="AA65" s="36" t="str">
        <x:v>Relevant cultural authority; legal/privacy review where status is sensitive</x:v>
      </x:c>
    </x:row>
    <x:row r="66">
      <x:c r="A66" s="24" t="str">
        <x:v>NS-062</x:v>
      </x:c>
      <x:c r="B66" s="25" t="str">
        <x:v>Step parent</x:v>
      </x:c>
      <x:c r="C66" s="25" t="str">
        <x:v>+1</x:v>
      </x:c>
      <x:c r="D66" s="25" t="str">
        <x:v>Blended family</x:v>
      </x:c>
      <x:c r="E66" s="25" t="str">
        <x:v>E-STP(F)</x:v>
      </x:c>
      <x:c r="F66" s="25" t="str">
        <x:v>Stepfather</x:v>
      </x:c>
      <x:c r="G66" s="25" t="str">
        <x:v>Male</x:v>
      </x:c>
      <x:c r="H66" s="25" t="str">
        <x:v>N/A</x:v>
      </x:c>
      <x:c r="I66" s="25" t="str">
        <x:v>सौतेलो बुबा</x:v>
      </x:c>
      <x:c r="J66" s="25" t="str">
        <x:v>sautelo bubā</x:v>
      </x:c>
      <x:c r="K66" s="25" t="str">
        <x:v>Stepfather</x:v>
      </x:c>
      <x:c r="L66" s="25" t="str">
        <x:v>सौतेलो छोरा/सौतेली छोरी</x:v>
      </x:c>
      <x:c r="M66" s="25" t="str">
        <x:v>Step</x:v>
      </x:c>
      <x:c r="N66" s="25" t="str">
        <x:v>Explicit path only; privacy-controlled</x:v>
      </x:c>
      <x:c r="O66" s="25" t="str">
        <x:v>सौतेनी बुबा (usage variant—validate)</x:v>
      </x:c>
      <x:c r="P66" s="25" t="str">
        <x:v>SRC-001; SRC-002</x:v>
      </x:c>
      <x:c r="Q66" s="31" t="str">
        <x:v>Academic support; community authority missing</x:v>
      </x:c>
      <x:c r="R66" s="33" t="str">
        <x:v>Expert validation required</x:v>
      </x:c>
      <x:c r="S66" s="31" t="str"/>
      <x:c r="T66" s="31" t="str"/>
      <x:c r="U66" s="25" t="str">
        <x:v>0.2</x:v>
      </x:c>
      <x:c r="V66" s="31" t="str"/>
      <x:c r="W66" s="31" t="str">
        <x:v>AI desk review only; not a cultural approval</x:v>
      </x:c>
      <x:c r="X66" s="35" t="str">
        <x:v>Culturally/legal sensitive — retain explicit descriptive label</x:v>
      </x:c>
      <x:c r="Y66" s="35" t="str">
        <x:v>Low</x:v>
      </x:c>
      <x:c r="Z66" s="35" t="str">
        <x:v>Do not automate as an equivalence; require verified edge/status</x:v>
      </x:c>
      <x:c r="AA66" s="36" t="str">
        <x:v>Relevant cultural authority; legal/privacy review where status is sensitive</x:v>
      </x:c>
    </x:row>
    <x:row r="67">
      <x:c r="A67" s="24" t="str">
        <x:v>NS-063</x:v>
      </x:c>
      <x:c r="B67" s="25" t="str">
        <x:v>Step parent</x:v>
      </x:c>
      <x:c r="C67" s="25" t="str">
        <x:v>+1</x:v>
      </x:c>
      <x:c r="D67" s="25" t="str">
        <x:v>Blended family</x:v>
      </x:c>
      <x:c r="E67" s="25" t="str">
        <x:v>E-STP(M)</x:v>
      </x:c>
      <x:c r="F67" s="25" t="str">
        <x:v>Stepmother</x:v>
      </x:c>
      <x:c r="G67" s="25" t="str">
        <x:v>Female</x:v>
      </x:c>
      <x:c r="H67" s="25" t="str">
        <x:v>N/A</x:v>
      </x:c>
      <x:c r="I67" s="25" t="str">
        <x:v>सौतेली आमा</x:v>
      </x:c>
      <x:c r="J67" s="25" t="str">
        <x:v>sautelī āmā</x:v>
      </x:c>
      <x:c r="K67" s="25" t="str">
        <x:v>Stepmother</x:v>
      </x:c>
      <x:c r="L67" s="25" t="str">
        <x:v>सौतेलो छोरा/सौतेली छोरी</x:v>
      </x:c>
      <x:c r="M67" s="25" t="str">
        <x:v>Step</x:v>
      </x:c>
      <x:c r="N67" s="25" t="str">
        <x:v>Explicit path only; privacy-controlled</x:v>
      </x:c>
      <x:c r="O67" s="25" t="str">
        <x:v>सौतेनी आमा</x:v>
      </x:c>
      <x:c r="P67" s="25" t="str">
        <x:v>SRC-001; SRC-002</x:v>
      </x:c>
      <x:c r="Q67" s="31" t="str">
        <x:v>Academic support; community authority missing</x:v>
      </x:c>
      <x:c r="R67" s="33" t="str">
        <x:v>Expert validation required</x:v>
      </x:c>
      <x:c r="S67" s="31" t="str"/>
      <x:c r="T67" s="31" t="str"/>
      <x:c r="U67" s="25" t="str">
        <x:v>0.2</x:v>
      </x:c>
      <x:c r="V67" s="31" t="str"/>
      <x:c r="W67" s="31" t="str">
        <x:v>AI desk review only; not a cultural approval</x:v>
      </x:c>
      <x:c r="X67" s="35" t="str">
        <x:v>Culturally/legal sensitive — retain explicit descriptive label</x:v>
      </x:c>
      <x:c r="Y67" s="35" t="str">
        <x:v>Low</x:v>
      </x:c>
      <x:c r="Z67" s="35" t="str">
        <x:v>Do not automate as an equivalence; require verified edge/status</x:v>
      </x:c>
      <x:c r="AA67" s="36" t="str">
        <x:v>Relevant cultural authority; legal/privacy review where status is sensitive</x:v>
      </x:c>
    </x:row>
    <x:row r="68">
      <x:c r="A68" s="24" t="str">
        <x:v>NS-064</x:v>
      </x:c>
      <x:c r="B68" s="25" t="str">
        <x:v>Step sibling</x:v>
      </x:c>
      <x:c r="C68" s="25" t="str">
        <x:v>0</x:v>
      </x:c>
      <x:c r="D68" s="25" t="str">
        <x:v>Blended family</x:v>
      </x:c>
      <x:c r="E68" s="25" t="str">
        <x:v>E-STB</x:v>
      </x:c>
      <x:c r="F68" s="25" t="str">
        <x:v>Stepbrother</x:v>
      </x:c>
      <x:c r="G68" s="25" t="str">
        <x:v>Male</x:v>
      </x:c>
      <x:c r="H68" s="25" t="str">
        <x:v>Age-sensitive</x:v>
      </x:c>
      <x:c r="I68" s="25" t="str">
        <x:v>सौतेनी दाजु/भाइ</x:v>
      </x:c>
      <x:c r="J68" s="25" t="str">
        <x:v>sautenī dāju/bhāi</x:v>
      </x:c>
      <x:c r="K68" s="25" t="str">
        <x:v>Stepbrother</x:v>
      </x:c>
      <x:c r="L68" s="25" t="str">
        <x:v>Path-dependent</x:v>
      </x:c>
      <x:c r="M68" s="25" t="str">
        <x:v>Step</x:v>
      </x:c>
      <x:c r="N68" s="25" t="str">
        <x:v>Never merge with biological</x:v>
      </x:c>
      <x:c r="O68" s="25" t="str">
        <x:v>सौतेलो दाजु/भाइ</x:v>
      </x:c>
      <x:c r="P68" s="25" t="str">
        <x:v>SRC-001; SRC-002</x:v>
      </x:c>
      <x:c r="Q68" s="31" t="str">
        <x:v>Academic support; community authority missing</x:v>
      </x:c>
      <x:c r="R68" s="33" t="str">
        <x:v>Expert validation required</x:v>
      </x:c>
      <x:c r="S68" s="31" t="str"/>
      <x:c r="T68" s="31" t="str"/>
      <x:c r="U68" s="25" t="str">
        <x:v>0.2</x:v>
      </x:c>
      <x:c r="V68" s="31" t="str"/>
      <x:c r="W68" s="31" t="str">
        <x:v>AI desk review only; not a cultural approval</x:v>
      </x:c>
      <x:c r="X68" s="35" t="str">
        <x:v>Culturally/legal sensitive — retain explicit descriptive label</x:v>
      </x:c>
      <x:c r="Y68" s="35" t="str">
        <x:v>Low</x:v>
      </x:c>
      <x:c r="Z68" s="35" t="str">
        <x:v>Do not automate as an equivalence; require verified edge/status</x:v>
      </x:c>
      <x:c r="AA68" s="36" t="str">
        <x:v>Relevant cultural authority; legal/privacy review where status is sensitive</x:v>
      </x:c>
    </x:row>
    <x:row r="69">
      <x:c r="A69" s="24" t="str">
        <x:v>NS-065</x:v>
      </x:c>
      <x:c r="B69" s="25" t="str">
        <x:v>Step sibling</x:v>
      </x:c>
      <x:c r="C69" s="25" t="str">
        <x:v>0</x:v>
      </x:c>
      <x:c r="D69" s="25" t="str">
        <x:v>Blended family</x:v>
      </x:c>
      <x:c r="E69" s="25" t="str">
        <x:v>E-STZ</x:v>
      </x:c>
      <x:c r="F69" s="25" t="str">
        <x:v>Stepsister</x:v>
      </x:c>
      <x:c r="G69" s="25" t="str">
        <x:v>Female</x:v>
      </x:c>
      <x:c r="H69" s="25" t="str">
        <x:v>Age-sensitive</x:v>
      </x:c>
      <x:c r="I69" s="25" t="str">
        <x:v>सौतेनी दिदी/बहिनी</x:v>
      </x:c>
      <x:c r="J69" s="25" t="str">
        <x:v>sautenī didī/bahinī</x:v>
      </x:c>
      <x:c r="K69" s="25" t="str">
        <x:v>Stepsister</x:v>
      </x:c>
      <x:c r="L69" s="25" t="str">
        <x:v>Path-dependent</x:v>
      </x:c>
      <x:c r="M69" s="25" t="str">
        <x:v>Step</x:v>
      </x:c>
      <x:c r="N69" s="25" t="str">
        <x:v>Never merge with biological</x:v>
      </x:c>
      <x:c r="O69" s="25" t="str">
        <x:v>सौतेली दिदी/बहिनी</x:v>
      </x:c>
      <x:c r="P69" s="25" t="str">
        <x:v>SRC-001; SRC-002</x:v>
      </x:c>
      <x:c r="Q69" s="31" t="str">
        <x:v>Academic support; community authority missing</x:v>
      </x:c>
      <x:c r="R69" s="33" t="str">
        <x:v>Expert validation required</x:v>
      </x:c>
      <x:c r="S69" s="31" t="str"/>
      <x:c r="T69" s="31" t="str"/>
      <x:c r="U69" s="25" t="str">
        <x:v>0.2</x:v>
      </x:c>
      <x:c r="V69" s="31" t="str"/>
      <x:c r="W69" s="31" t="str">
        <x:v>AI desk review only; not a cultural approval</x:v>
      </x:c>
      <x:c r="X69" s="35" t="str">
        <x:v>Culturally/legal sensitive — retain explicit descriptive label</x:v>
      </x:c>
      <x:c r="Y69" s="35" t="str">
        <x:v>Low</x:v>
      </x:c>
      <x:c r="Z69" s="35" t="str">
        <x:v>Do not automate as an equivalence; require verified edge/status</x:v>
      </x:c>
      <x:c r="AA69" s="36" t="str">
        <x:v>Relevant cultural authority; legal/privacy review where status is sensitive</x:v>
      </x:c>
    </x:row>
    <x:row r="70">
      <x:c r="A70" s="24" t="str">
        <x:v>NS-066</x:v>
      </x:c>
      <x:c r="B70" s="25" t="str">
        <x:v>Half sibling</x:v>
      </x:c>
      <x:c r="C70" s="25" t="str">
        <x:v>0</x:v>
      </x:c>
      <x:c r="D70" s="25" t="str">
        <x:v>Shared one parent</x:v>
      </x:c>
      <x:c r="E70" s="25" t="str">
        <x:v>E-HB</x:v>
      </x:c>
      <x:c r="F70" s="25" t="str">
        <x:v>Half-brother</x:v>
      </x:c>
      <x:c r="G70" s="25" t="str">
        <x:v>Male</x:v>
      </x:c>
      <x:c r="H70" s="25" t="str">
        <x:v>Age-sensitive</x:v>
      </x:c>
      <x:c r="I70" s="25" t="str">
        <x:v>एकै बुबा वा आमातर्फका दाजु/भाइ</x:v>
      </x:c>
      <x:c r="J70" s="25" t="str">
        <x:v>ekai bubā vā āmātarphakā dāju/bhāi</x:v>
      </x:c>
      <x:c r="K70" s="25" t="str">
        <x:v>Half-brother</x:v>
      </x:c>
      <x:c r="L70" s="25" t="str">
        <x:v>Path-dependent</x:v>
      </x:c>
      <x:c r="M70" s="25" t="str">
        <x:v>Half-biological</x:v>
      </x:c>
      <x:c r="N70" s="25" t="str">
        <x:v>Descriptive UI label; specify shared parent internally</x:v>
      </x:c>
      <x:c r="O70" s="25" t="str">
        <x:v>सौतेलो दाजु/भाइ (ambiguous; do not use as canonical)</x:v>
      </x:c>
      <x:c r="P70" s="25" t="str">
        <x:v>SRC-001; SRC-002</x:v>
      </x:c>
      <x:c r="Q70" s="31" t="str">
        <x:v>Academic support; community authority missing</x:v>
      </x:c>
      <x:c r="R70" s="33" t="str">
        <x:v>Expert validation required</x:v>
      </x:c>
      <x:c r="S70" s="31" t="str"/>
      <x:c r="T70" s="31" t="str"/>
      <x:c r="U70" s="25" t="str">
        <x:v>0.2</x:v>
      </x:c>
      <x:c r="V70" s="31" t="str"/>
      <x:c r="W70" s="31" t="str">
        <x:v>AI desk review only; not a cultural approval</x:v>
      </x:c>
      <x:c r="X70" s="35" t="str">
        <x:v>Culturally/legal sensitive — retain explicit descriptive label</x:v>
      </x:c>
      <x:c r="Y70" s="35" t="str">
        <x:v>Low</x:v>
      </x:c>
      <x:c r="Z70" s="35" t="str">
        <x:v>Do not automate as an equivalence; require verified edge/status</x:v>
      </x:c>
      <x:c r="AA70" s="36" t="str">
        <x:v>Relevant cultural authority; legal/privacy review where status is sensitive</x:v>
      </x:c>
    </x:row>
    <x:row r="71">
      <x:c r="A71" s="24" t="str">
        <x:v>NS-067</x:v>
      </x:c>
      <x:c r="B71" s="25" t="str">
        <x:v>Half sibling</x:v>
      </x:c>
      <x:c r="C71" s="25" t="str">
        <x:v>0</x:v>
      </x:c>
      <x:c r="D71" s="25" t="str">
        <x:v>Shared one parent</x:v>
      </x:c>
      <x:c r="E71" s="25" t="str">
        <x:v>E-HZ</x:v>
      </x:c>
      <x:c r="F71" s="25" t="str">
        <x:v>Half-sister</x:v>
      </x:c>
      <x:c r="G71" s="25" t="str">
        <x:v>Female</x:v>
      </x:c>
      <x:c r="H71" s="25" t="str">
        <x:v>Age-sensitive</x:v>
      </x:c>
      <x:c r="I71" s="25" t="str">
        <x:v>एकै बुबा वा आमातर्फकी दिदी/बहिनी</x:v>
      </x:c>
      <x:c r="J71" s="25" t="str">
        <x:v>ekai bubā vā āmātarphakī didī/bahinī</x:v>
      </x:c>
      <x:c r="K71" s="25" t="str">
        <x:v>Half-sister</x:v>
      </x:c>
      <x:c r="L71" s="25" t="str">
        <x:v>Path-dependent</x:v>
      </x:c>
      <x:c r="M71" s="25" t="str">
        <x:v>Half-biological</x:v>
      </x:c>
      <x:c r="N71" s="25" t="str">
        <x:v>Descriptive UI label; specify shared parent internally</x:v>
      </x:c>
      <x:c r="O71" s="25" t="str">
        <x:v>सौतेली दिदी/बहिनी (ambiguous; do not use as canonical)</x:v>
      </x:c>
      <x:c r="P71" s="25" t="str">
        <x:v>SRC-001; SRC-002</x:v>
      </x:c>
      <x:c r="Q71" s="31" t="str">
        <x:v>Academic support; community authority missing</x:v>
      </x:c>
      <x:c r="R71" s="33" t="str">
        <x:v>Expert validation required</x:v>
      </x:c>
      <x:c r="S71" s="31" t="str"/>
      <x:c r="T71" s="31" t="str"/>
      <x:c r="U71" s="25" t="str">
        <x:v>0.2</x:v>
      </x:c>
      <x:c r="V71" s="31" t="str"/>
      <x:c r="W71" s="31" t="str">
        <x:v>AI desk review only; not a cultural approval</x:v>
      </x:c>
      <x:c r="X71" s="35" t="str">
        <x:v>Culturally/legal sensitive — retain explicit descriptive label</x:v>
      </x:c>
      <x:c r="Y71" s="35" t="str">
        <x:v>Low</x:v>
      </x:c>
      <x:c r="Z71" s="35" t="str">
        <x:v>Do not automate as an equivalence; require verified edge/status</x:v>
      </x:c>
      <x:c r="AA71" s="36" t="str">
        <x:v>Relevant cultural authority; legal/privacy review where status is sensitive</x:v>
      </x:c>
    </x:row>
    <x:row r="72">
      <x:c r="A72" s="24" t="str">
        <x:v>NS-068</x:v>
      </x:c>
      <x:c r="B72" s="25" t="str">
        <x:v>Guardian</x:v>
      </x:c>
      <x:c r="C72" s="25" t="str">
        <x:v>+1</x:v>
      </x:c>
      <x:c r="D72" s="25" t="str">
        <x:v>Legal/social</x:v>
      </x:c>
      <x:c r="E72" s="25" t="str">
        <x:v>E-GUARD</x:v>
      </x:c>
      <x:c r="F72" s="25" t="str">
        <x:v>Legal/customary guardian</x:v>
      </x:c>
      <x:c r="G72" s="25" t="str">
        <x:v>Any</x:v>
      </x:c>
      <x:c r="H72" s="25" t="str">
        <x:v>N/A</x:v>
      </x:c>
      <x:c r="I72" s="25" t="str">
        <x:v>अभिभावक</x:v>
      </x:c>
      <x:c r="J72" s="25" t="str">
        <x:v>abhibhāvak</x:v>
      </x:c>
      <x:c r="K72" s="25" t="str">
        <x:v>Guardian</x:v>
      </x:c>
      <x:c r="L72" s="25" t="str">
        <x:v>आश्रित/संरक्षित व्यक्ति</x:v>
      </x:c>
      <x:c r="M72" s="25" t="str">
        <x:v>Guardianship</x:v>
      </x:c>
      <x:c r="N72" s="25" t="str">
        <x:v>Not a blood relation</x:v>
      </x:c>
      <x:c r="O72" s="25" t="str">
        <x:v>संरक्षक</x:v>
      </x:c>
      <x:c r="P72" s="25" t="str">
        <x:v>SRC-001; SRC-002</x:v>
      </x:c>
      <x:c r="Q72" s="31" t="str">
        <x:v>Academic support; community authority missing</x:v>
      </x:c>
      <x:c r="R72" s="33" t="str">
        <x:v>Expert validation required</x:v>
      </x:c>
      <x:c r="S72" s="31" t="str"/>
      <x:c r="T72" s="31" t="str"/>
      <x:c r="U72" s="25" t="str">
        <x:v>0.2</x:v>
      </x:c>
      <x:c r="V72" s="31" t="str"/>
      <x:c r="W72" s="31" t="str">
        <x:v>AI desk review only; not a cultural approval</x:v>
      </x:c>
      <x:c r="X72" s="35" t="str">
        <x:v>Culturally/legal sensitive — retain explicit descriptive label</x:v>
      </x:c>
      <x:c r="Y72" s="35" t="str">
        <x:v>Low</x:v>
      </x:c>
      <x:c r="Z72" s="35" t="str">
        <x:v>Do not automate as an equivalence; require verified edge/status</x:v>
      </x:c>
      <x:c r="AA72" s="36" t="str">
        <x:v>Relevant cultural authority; legal/privacy review where status is sensitive</x:v>
      </x:c>
    </x:row>
    <x:row r="73">
      <x:c r="A73" s="24" t="str">
        <x:v>NS-069</x:v>
      </x:c>
      <x:c r="B73" s="25" t="str">
        <x:v>Former spouse</x:v>
      </x:c>
      <x:c r="C73" s="25" t="str">
        <x:v>0</x:v>
      </x:c>
      <x:c r="D73" s="25" t="str">
        <x:v>Historical marriage</x:v>
      </x:c>
      <x:c r="E73" s="25" t="str">
        <x:v>E-XSP</x:v>
      </x:c>
      <x:c r="F73" s="25" t="str">
        <x:v>Divorced/separated spouse</x:v>
      </x:c>
      <x:c r="G73" s="25" t="str">
        <x:v>Any</x:v>
      </x:c>
      <x:c r="H73" s="25" t="str">
        <x:v>N/A</x:v>
      </x:c>
      <x:c r="I73" s="25" t="str">
        <x:v>पूर्व पति/पत्नी</x:v>
      </x:c>
      <x:c r="J73" s="25" t="str">
        <x:v>pūrva pati/patnī</x:v>
      </x:c>
      <x:c r="K73" s="25" t="str">
        <x:v>Former spouse</x:v>
      </x:c>
      <x:c r="L73" s="25" t="str">
        <x:v>पूर्व पति/पत्नी</x:v>
      </x:c>
      <x:c r="M73" s="25" t="str">
        <x:v>Historical marriage</x:v>
      </x:c>
      <x:c r="N73" s="25" t="str">
        <x:v>Show status and dates</x:v>
      </x:c>
      <x:c r="O73" s="25" t="str">
        <x:v>सम्बन्धविच्छेद भएको पति/पत्नी</x:v>
      </x:c>
      <x:c r="P73" s="25" t="str">
        <x:v>SRC-001; SRC-002</x:v>
      </x:c>
      <x:c r="Q73" s="31" t="str">
        <x:v>Academic support; community authority missing</x:v>
      </x:c>
      <x:c r="R73" s="33" t="str">
        <x:v>Expert validation required</x:v>
      </x:c>
      <x:c r="S73" s="31" t="str"/>
      <x:c r="T73" s="31" t="str"/>
      <x:c r="U73" s="25" t="str">
        <x:v>0.2</x:v>
      </x:c>
      <x:c r="V73" s="31" t="str"/>
      <x:c r="W73" s="31" t="str">
        <x:v>AI desk review only; not a cultural approval</x:v>
      </x:c>
      <x:c r="X73" s="35" t="str">
        <x:v>Culturally/legal sensitive — retain explicit descriptive label</x:v>
      </x:c>
      <x:c r="Y73" s="35" t="str">
        <x:v>Low</x:v>
      </x:c>
      <x:c r="Z73" s="35" t="str">
        <x:v>Do not automate as an equivalence; require verified edge/status</x:v>
      </x:c>
      <x:c r="AA73" s="36" t="str">
        <x:v>Relevant cultural authority; legal/privacy review where status is sensitive</x:v>
      </x:c>
    </x:row>
    <x:row r="74">
      <x:c r="A74" s="24" t="str">
        <x:v>NS-070</x:v>
      </x:c>
      <x:c r="B74" s="25" t="str">
        <x:v>Unknown</x:v>
      </x:c>
      <x:c r="C74" s="25" t="str">
        <x:v>Unknown</x:v>
      </x:c>
      <x:c r="D74" s="25" t="str">
        <x:v>Unresolved</x:v>
      </x:c>
      <x:c r="E74" s="25" t="str">
        <x:v>E-?</x:v>
      </x:c>
      <x:c r="F74" s="25" t="str">
        <x:v>Unknown parentage/path</x:v>
      </x:c>
      <x:c r="G74" s="25" t="str">
        <x:v>Unknown</x:v>
      </x:c>
      <x:c r="H74" s="25" t="str">
        <x:v>Unknown</x:v>
      </x:c>
      <x:c r="I74" s="25" t="str">
        <x:v>सम्बन्ध पुष्टि हुन बाँकी</x:v>
      </x:c>
      <x:c r="J74" s="25" t="str">
        <x:v>—</x:v>
      </x:c>
      <x:c r="K74" s="25" t="str">
        <x:v>Relationship awaiting confirmation</x:v>
      </x:c>
      <x:c r="L74" s="25" t="str">
        <x:v>N/A</x:v>
      </x:c>
      <x:c r="M74" s="25" t="str">
        <x:v>Unknown</x:v>
      </x:c>
      <x:c r="N74" s="25" t="str">
        <x:v>Never infer</x:v>
      </x:c>
      <x:c r="O74" s="25" t="str">
        <x:v>अज्ञात सम्बन्ध</x:v>
      </x:c>
      <x:c r="P74" s="25" t="str">
        <x:v>SRC-001; SRC-002</x:v>
      </x:c>
      <x:c r="Q74" s="31" t="str">
        <x:v>Academic support; community authority missing</x:v>
      </x:c>
      <x:c r="R74" s="33" t="str">
        <x:v>Expert validation required</x:v>
      </x:c>
      <x:c r="S74" s="31" t="str"/>
      <x:c r="T74" s="31" t="str"/>
      <x:c r="U74" s="25" t="str">
        <x:v>0.2</x:v>
      </x:c>
      <x:c r="V74" s="31" t="str"/>
      <x:c r="W74" s="31" t="str">
        <x:v>AI desk review only; not a cultural approval</x:v>
      </x:c>
      <x:c r="X74" s="35" t="str">
        <x:v>Safety fallback approved as system behavior</x:v>
      </x:c>
      <x:c r="Y74" s="35" t="str">
        <x:v>High</x:v>
      </x:c>
      <x:c r="Z74" s="35" t="str">
        <x:v>Safe to implement neutral fallback; never infer a kinship term</x:v>
      </x:c>
      <x:c r="AA74" s="36" t="str">
        <x:v>Policy approval and privacy/security review</x:v>
      </x:c>
    </x:row>
    <x:row r="75">
      <x:c r="A75" s="27" t="str">
        <x:v>NS-071</x:v>
      </x:c>
      <x:c r="B75" s="28" t="str">
        <x:v>Disputed</x:v>
      </x:c>
      <x:c r="C75" s="28" t="str">
        <x:v>Unknown</x:v>
      </x:c>
      <x:c r="D75" s="28" t="str">
        <x:v>Contested</x:v>
      </x:c>
      <x:c r="E75" s="28" t="str">
        <x:v>E-!</x:v>
      </x:c>
      <x:c r="F75" s="28" t="str">
        <x:v>Disputed relationship</x:v>
      </x:c>
      <x:c r="G75" s="28" t="str">
        <x:v>Unknown</x:v>
      </x:c>
      <x:c r="H75" s="28" t="str">
        <x:v>Unknown</x:v>
      </x:c>
      <x:c r="I75" s="28" t="str">
        <x:v>विवादित सम्बन्ध</x:v>
      </x:c>
      <x:c r="J75" s="28" t="str">
        <x:v>—</x:v>
      </x:c>
      <x:c r="K75" s="28" t="str">
        <x:v>Disputed relationship</x:v>
      </x:c>
      <x:c r="L75" s="28" t="str">
        <x:v>N/A</x:v>
      </x:c>
      <x:c r="M75" s="28" t="str">
        <x:v>Disputed</x:v>
      </x:c>
      <x:c r="N75" s="28" t="str">
        <x:v>Restricted visibility; audit required</x:v>
      </x:c>
      <x:c r="O75" s="28" t="str">
        <x:v>दाबी गरिएको सम्बन्ध</x:v>
      </x:c>
      <x:c r="P75" s="28" t="str">
        <x:v>SRC-001; SRC-002</x:v>
      </x:c>
      <x:c r="Q75" s="32" t="str">
        <x:v>Academic support; community authority missing</x:v>
      </x:c>
      <x:c r="R75" s="34" t="str">
        <x:v>Expert validation required</x:v>
      </x:c>
      <x:c r="S75" s="32" t="str"/>
      <x:c r="T75" s="32" t="str"/>
      <x:c r="U75" s="28" t="str">
        <x:v>0.2</x:v>
      </x:c>
      <x:c r="V75" s="32" t="str"/>
      <x:c r="W75" s="32" t="str">
        <x:v>AI desk review only; not a cultural approval</x:v>
      </x:c>
      <x:c r="X75" s="37" t="str">
        <x:v>Safety fallback approved as system behavior</x:v>
      </x:c>
      <x:c r="Y75" s="37" t="str">
        <x:v>High</x:v>
      </x:c>
      <x:c r="Z75" s="37" t="str">
        <x:v>Safe to implement neutral fallback; never infer a kinship term</x:v>
      </x:c>
      <x:c r="AA75" s="38" t="str">
        <x:v>Policy approval and privacy/security review</x:v>
      </x:c>
    </x:row>
  </x:sheetData>
  <x:mergeCells>
    <x:mergeCell ref="A1:AA1"/>
    <x:mergeCell ref="A2:AA2"/>
  </x:mergeCells>
  <x:dataValidations count="3">
    <x:dataValidation type="list" sqref="R5:R75">
      <x:formula1>"Expert validation required,Reviewer validated,Final-approved,Rejected,Deprecated"</x:formula1>
    </x:dataValidation>
    <x:dataValidation type="list" sqref="Q5:Q75">
      <x:formula1>"Missing,Academic support; community authority missing,Customary statement,Expert statement,Meeting resolution,Documentary evidence"</x:formula1>
    </x:dataValidation>
    <x:dataValidation type="list" sqref="Y5:Y75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42" hidden="0" customWidth="1"/>
    <x:col min="5" max="5" width="42" hidden="0" customWidth="1"/>
  </x:cols>
  <x:sheetData>
    <x:row r="1" ht="32" customHeight="1">
      <x:c r="A1" s="30" t="str">
        <x:v>Relationship Path Code Legend</x:v>
      </x:c>
      <x:c r="B1" s="30"/>
      <x:c r="C1" s="30"/>
      <x:c r="D1" s="30"/>
      <x:c r="E1" s="30"/>
      <x:c r="F1" s="3"/>
      <x:c r="G1" s="3"/>
    </x:row>
    <x:row r="2" ht="26" customHeight="1">
      <x:c r="A2" s="6" t="str">
        <x:v>Canonical path notation for deterministic rule matching; direction is always Ego → relative.</x:v>
      </x:c>
      <x:c r="B2" s="6"/>
      <x:c r="C2" s="6"/>
      <x:c r="D2" s="6"/>
      <x:c r="E2" s="6"/>
      <x:c r="F2" s="6"/>
      <x:c r="G2" s="6"/>
    </x:row>
    <x:row r="4">
      <x:c r="A4" s="21" t="str">
        <x:v>Code</x:v>
      </x:c>
      <x:c r="B4" s="22" t="str">
        <x:v>Meaning</x:v>
      </x:c>
      <x:c r="C4" s="22" t="str">
        <x:v>Example</x:v>
      </x:c>
      <x:c r="D4" s="22" t="str">
        <x:v>Interpretation</x:v>
      </x:c>
      <x:c r="E4" s="23" t="str">
        <x:v>Safety rule</x:v>
      </x:c>
    </x:row>
    <x:row r="5">
      <x:c r="A5" s="24" t="str">
        <x:v>E</x:v>
     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  <x:c r="E5" s="26" t="str">
        <x:v>Required start</x:v>
      </x:c>
    </x:row>
    <x:row r="6">
      <x:c r="A6" s="24" t="str">
        <x:v>F</x:v>
      </x:c>
      <x:c r="B6" s="25" t="str">
        <x:v>Father</x:v>
      </x:c>
      <x:c r="C6" s="25" t="str">
        <x:v>E-F</x:v>
      </x:c>
      <x:c r="D6" s="25" t="str">
        <x:v>Ego's recorded father</x:v>
      </x:c>
      <x:c r="E6" s="26" t="str">
        <x:v>Edge type must be known</x:v>
      </x:c>
    </x:row>
    <x:row r="7">
      <x:c r="A7" s="24" t="str">
        <x:v>M</x:v>
      </x:c>
      <x:c r="B7" s="25" t="str">
        <x:v>Mother</x:v>
      </x:c>
      <x:c r="C7" s="25" t="str">
        <x:v>E-M</x:v>
      </x:c>
      <x:c r="D7" s="25" t="str">
        <x:v>Ego's recorded mother</x:v>
      </x:c>
      <x:c r="E7" s="26" t="str">
        <x:v>Edge type must be known</x:v>
      </x:c>
    </x:row>
    <x:row r="8">
      <x:c r="A8" s="24" t="str">
        <x:v>B</x:v>
      </x:c>
      <x:c r="B8" s="25" t="str">
        <x:v>Brother</x:v>
      </x:c>
      <x:c r="C8" s="25" t="str">
        <x:v>E-B(o) / E-B(y)</x:v>
      </x:c>
      <x:c r="D8" s="25" t="str">
        <x:v>Older/younger brother</x:v>
      </x:c>
      <x:c r="E8" s="26" t="str">
        <x:v>Use (o)/(y) only with reliable age/order</x:v>
      </x:c>
    </x:row>
    <x:row r="9">
      <x:c r="A9" s="24" t="str">
        <x:v>Z</x:v>
      </x:c>
      <x:c r="B9" s="25" t="str">
        <x:v>Sister</x:v>
      </x:c>
      <x:c r="C9" s="25" t="str">
        <x:v>E-Z(o) / E-Z(y)</x:v>
      </x:c>
      <x:c r="D9" s="25" t="str">
        <x:v>Older/younger sister</x:v>
      </x:c>
      <x:c r="E9" s="26" t="str">
        <x:v>Use (o)/(y) only with reliable age/order</x:v>
      </x:c>
    </x:row>
    <x:row r="10">
      <x:c r="A10" s="24" t="str">
        <x:v>S</x:v>
      </x:c>
      <x:c r="B10" s="25" t="str">
        <x:v>Son</x:v>
      </x:c>
      <x:c r="C10" s="25" t="str">
        <x:v>E-S</x:v>
      </x:c>
      <x:c r="D10" s="25" t="str">
        <x:v>Son</x:v>
      </x:c>
      <x:c r="E10" s="26" t="str">
        <x:v>Do not infer biological subtype</x:v>
      </x:c>
    </x:row>
    <x:row r="11">
      <x:c r="A11" s="24" t="str">
        <x:v>D</x:v>
      </x:c>
      <x:c r="B11" s="25" t="str">
        <x:v>Daughter</x:v>
      </x:c>
      <x:c r="C11" s="25" t="str">
        <x:v>E-D</x:v>
      </x:c>
      <x:c r="D11" s="25" t="str">
        <x:v>Daughter</x:v>
      </x:c>
      <x:c r="E11" s="26" t="str">
        <x:v>Do not infer biological subtype</x:v>
      </x:c>
    </x:row>
    <x:row r="12">
      <x:c r="A12" s="24" t="str">
        <x:v>H</x:v>
      </x:c>
      <x:c r="B12" s="25" t="str">
        <x:v>Husband</x:v>
      </x:c>
      <x:c r="C12" s="25" t="str">
        <x:v>E-H</x:v>
      </x:c>
      <x:c r="D12" s="25" t="str">
        <x:v>Husband</x:v>
      </x:c>
      <x:c r="E12" s="26" t="str">
        <x:v>Marriage status/dates are separate</x:v>
      </x:c>
    </x:row>
    <x:row r="13">
      <x:c r="A13" s="24" t="str">
        <x:v>W</x:v>
      </x:c>
      <x:c r="B13" s="25" t="str">
        <x:v>Wife</x:v>
      </x:c>
      <x:c r="C13" s="25" t="str">
        <x:v>E-W</x:v>
      </x:c>
      <x:c r="D13" s="25" t="str">
        <x:v>Wife</x:v>
      </x:c>
      <x:c r="E13" s="26" t="str">
        <x:v>Marriage status/dates are separate</x:v>
      </x:c>
    </x:row>
    <x:row r="14">
      <x:c r="A14" s="24" t="str">
        <x:v>SP</x:v>
      </x:c>
      <x:c r="B14" s="25" t="str">
        <x:v>Spouse, gender-neutral</x:v>
      </x:c>
      <x:c r="C14" s="25" t="str">
        <x:v>E-SP-F</x:v>
      </x:c>
      <x:c r="D14" s="25" t="str">
        <x:v>Spouse's father</x:v>
      </x:c>
      <x:c r="E14" s="26" t="str">
        <x:v>Resolver expands to H or W when known</x:v>
      </x:c>
    </x:row>
    <x:row r="15">
      <x:c r="A15" s="24" t="str">
        <x:v>CHILD</x:v>
      </x:c>
      <x:c r="B15" s="25" t="str">
        <x:v>Child, gender-neutral</x:v>
      </x:c>
      <x:c r="C15" s="25" t="str">
        <x:v>E-CHILD-SP</x:v>
      </x:c>
      <x:c r="D15" s="25" t="str">
        <x:v>Child's spouse</x:v>
      </x:c>
      <x:c r="E15" s="26" t="str">
        <x:v>Resolver expands to S or D when known</x:v>
      </x:c>
    </x:row>
    <x:row r="16">
      <x:c r="A16" s="24" t="str">
        <x:v>AP</x:v>
      </x:c>
      <x:c r="B16" s="25" t="str">
        <x:v>Adoptive parent</x:v>
      </x:c>
      <x:c r="C16" s="25" t="str">
        <x:v>E-AP(F)</x:v>
      </x:c>
      <x:c r="D16" s="25" t="str">
        <x:v>Adoptive father</x:v>
      </x:c>
      <x:c r="E16" s="26" t="str">
        <x:v>Explicit adoptive edge</x:v>
      </x:c>
    </x:row>
    <x:row r="17">
      <x:c r="A17" s="24" t="str">
        <x:v>AC</x:v>
      </x:c>
      <x:c r="B17" s="25" t="str">
        <x:v>Adopted child</x:v>
      </x:c>
      <x:c r="C17" s="25" t="str">
        <x:v>E-AC(D)</x:v>
      </x:c>
      <x:c r="D17" s="25" t="str">
        <x:v>Adopted daughter</x:v>
      </x:c>
      <x:c r="E17" s="26" t="str">
        <x:v>Explicit adoptive edge</x:v>
      </x:c>
    </x:row>
    <x:row r="18">
      <x:c r="A18" s="24" t="str">
        <x:v>STP</x:v>
      </x:c>
      <x:c r="B18" s="25" t="str">
        <x:v>Step-parent</x:v>
      </x:c>
      <x:c r="C18" s="25" t="str">
        <x:v>E-STP(M)</x:v>
      </x:c>
      <x:c r="D18" s="25" t="str">
        <x:v>Stepmother</x:v>
      </x:c>
      <x:c r="E18" s="26" t="str">
        <x:v>Explicit step edge</x:v>
      </x:c>
    </x:row>
    <x:row r="19">
      <x:c r="A19" s="24" t="str">
        <x:v>STB/STZ</x:v>
      </x:c>
      <x:c r="B19" s="25" t="str">
        <x:v>Step-sibling</x:v>
      </x:c>
      <x:c r="C19" s="25" t="str">
        <x:v>E-STB</x:v>
      </x:c>
      <x:c r="D19" s="25" t="str">
        <x:v>Stepbrother</x:v>
      </x:c>
      <x:c r="E19" s="26" t="str">
        <x:v>Explicit step edge</x:v>
      </x:c>
    </x:row>
    <x:row r="20">
      <x:c r="A20" s="24" t="str">
        <x:v>HB/HZ</x:v>
      </x:c>
      <x:c r="B20" s="25" t="str">
        <x:v>Half-sibling</x:v>
      </x:c>
      <x:c r="C20" s="25" t="str">
        <x:v>E-HB</x:v>
      </x:c>
      <x:c r="D20" s="25" t="str">
        <x:v>Half-brother</x:v>
      </x:c>
      <x:c r="E20" s="26" t="str">
        <x:v>Shared parent identifier required</x:v>
      </x:c>
    </x:row>
    <x:row r="21">
      <x:c r="A21" s="24" t="str">
        <x:v>GUARD</x:v>
      </x:c>
      <x:c r="B21" s="25" t="str">
        <x:v>Guardian</x:v>
      </x:c>
      <x:c r="C21" s="25" t="str">
        <x:v>E-GUARD</x:v>
      </x:c>
      <x:c r="D21" s="25" t="str">
        <x:v>Legal/customary guardian</x:v>
      </x:c>
      <x:c r="E21" s="26" t="str">
        <x:v>Never counted as blood</x:v>
      </x:c>
    </x:row>
    <x:row r="22">
      <x:c r="A22" s="24" t="str">
        <x:v>XSP</x:v>
      </x:c>
      <x:c r="B22" s="25" t="str">
        <x:v>Former spouse</x:v>
      </x:c>
      <x:c r="C22" s="25" t="str">
        <x:v>E-XSP</x:v>
      </x:c>
      <x:c r="D22" s="25" t="str">
        <x:v>Divorced/separated spouse</x:v>
      </x:c>
      <x:c r="E22" s="26" t="str">
        <x:v>Historical, status-aware</x:v>
      </x:c>
    </x:row>
    <x:row r="23">
      <x:c r="A23" s="24" t="str">
        <x:v>?</x:v>
      </x:c>
      <x:c r="B23" s="25" t="str">
        <x:v>Unknown path</x:v>
      </x:c>
      <x:c r="C23" s="25" t="str">
        <x:v>E-?</x:v>
      </x:c>
      <x:c r="D23" s="25" t="str">
        <x:v>Unconfirmed relationship</x:v>
      </x:c>
      <x:c r="E23" s="26" t="str">
        <x:v>Never guess</x:v>
      </x:c>
    </x:row>
    <x:row r="24">
      <x:c r="A24" s="24" t="str">
        <x:v>!</x:v>
      </x:c>
      <x:c r="B24" s="25" t="str">
        <x:v>Disputed path</x:v>
      </x:c>
      <x:c r="C24" s="25" t="str">
        <x:v>E-!</x:v>
      </x:c>
      <x:c r="D24" s="25" t="str">
        <x:v>Contested relationship</x:v>
      </x:c>
      <x:c r="E24" s="26" t="str">
        <x:v>Restricted and auditable</x:v>
      </x:c>
    </x:row>
    <x:row r="25">
      <x:c r="A25" s="27" t="str">
        <x:v>*</x:v>
      </x:c>
      <x:c r="B25" s="28" t="str">
        <x:v>Any one edge</x:v>
      </x:c>
      <x:c r="C25" s="28" t="str">
        <x:v>E-*-*-S</x:v>
      </x:c>
      <x:c r="D25" s="28" t="str">
        <x:v>Great-grandson pattern</x:v>
      </x:c>
      <x:c r="E25" s="29" t="str">
        <x:v>Use only in reviewed generalized rules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0" hidden="0" customWidth="1"/>
    <x:col min="5" max="5" width="25" hidden="0" customWidth="1"/>
    <x:col min="6" max="6" width="35" hidden="0" customWidth="1"/>
    <x:col min="7" max="7" width="16" hidden="0" customWidth="1"/>
    <x:col min="8" max="8" width="40" hidden="0" customWidth="1"/>
    <x:col min="9" max="9" width="14" hidden="0" customWidth="1"/>
    <x:col min="10" max="10" width="18" hidden="0" customWidth="1"/>
    <x:col min="11" max="11" width="30" hidden="0" customWidth="1"/>
    <x:col min="12" max="12" width="32" hidden="0" customWidth="1"/>
  </x:cols>
  <x:sheetData>
    <x:row r="1" ht="32" customHeight="1">
      <x:c r="A1" s="30" t="str">
        <x:v>Minimum Acceptance Test Cases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6" customHeight="1">
      <x:c r="A2" s="6" t="str">
        <x:v>Expected outputs remain provisional until their linked rule is final-approved.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21" t="str">
        <x:v>Test ID</x:v>
      </x:c>
      <x:c r="B4" s="22" t="str">
        <x:v>Viewer Context</x:v>
      </x:c>
      <x:c r="C4" s="22" t="str">
        <x:v>Path</x:v>
      </x:c>
      <x:c r="D4" s="22" t="str">
        <x:v>Input Conditions</x:v>
      </x:c>
      <x:c r="E4" s="22" t="str">
        <x:v>Expected Nepali Output</x:v>
      </x:c>
      <x:c r="F4" s="22" t="str">
        <x:v>Alternative / Detail</x:v>
      </x:c>
      <x:c r="G4" s="22" t="str">
        <x:v>Expected Status</x:v>
      </x:c>
      <x:c r="H4" s="22" t="str">
        <x:v>Negative Safety Check</x:v>
      </x:c>
      <x:c r="I4" s="22" t="str">
        <x:v>Linked Rule</x:v>
      </x:c>
      <x:c r="J4" s="22" t="str">
        <x:v>Reviewer Result</x:v>
      </x:c>
      <x:c r="K4" s="22" t="str">
        <x:v>Evidence Link</x:v>
      </x:c>
      <x:c r="L4" s="23" t="str">
        <x:v>Notes</x:v>
      </x:c>
    </x:row>
    <x:row r="5">
      <x:c r="A5" s="24" t="str">
        <x:v>TC-001</x:v>
      </x:c>
      <x:c r="B5" s="25" t="str">
        <x:v>Any</x:v>
      </x:c>
      <x:c r="C5" s="25" t="str">
        <x:v>E-F</x:v>
      </x:c>
      <x:c r="D5" s="25" t="str">
        <x:v>Biological father edge</x:v>
      </x:c>
      <x:c r="E5" s="25" t="str">
        <x:v>बुबा</x:v>
      </x:c>
      <x:c r="F5" s="25" t="str">
        <x:v>बुवा; पिता</x:v>
      </x:c>
      <x:c r="G5" s="25" t="str">
        <x:v>Draft</x:v>
      </x:c>
      <x:c r="H5" s="25" t="str">
        <x:v>Must not label adoptive father as biological</x:v>
      </x:c>
      <x:c r="I5" s="25" t="str">
        <x:v>NS-002</x:v>
      </x:c>
      <x:c r="J5" s="25" t="str">
        <x:v>Pending</x:v>
      </x:c>
      <x:c r="K5" s="25" t="str"/>
      <x:c r="L5" s="26" t="str"/>
    </x:row>
    <x:row r="6">
      <x:c r="A6" s="24" t="str">
        <x:v>TC-002</x:v>
      </x:c>
      <x:c r="B6" s="25" t="str">
        <x:v>Any</x:v>
      </x:c>
      <x:c r="C6" s="25" t="str">
        <x:v>E-M-B</x:v>
      </x:c>
      <x:c r="D6" s="25" t="str">
        <x:v>Biological mother + brother</x:v>
      </x:c>
      <x:c r="E6" s="25" t="str">
        <x:v>मामा</x:v>
      </x:c>
      <x:c r="F6" s="25" t="str">
        <x:v>Show source/applicability in Other terms</x:v>
      </x:c>
      <x:c r="G6" s="25" t="str">
        <x:v>Draft</x:v>
      </x:c>
      <x:c r="H6" s="25" t="str">
        <x:v>Must distinguish father's brother</x:v>
      </x:c>
      <x:c r="I6" s="25" t="str">
        <x:v>NS-026</x:v>
      </x:c>
      <x:c r="J6" s="25" t="str">
        <x:v>Pending</x:v>
      </x:c>
      <x:c r="K6" s="25" t="str"/>
      <x:c r="L6" s="26" t="str"/>
    </x:row>
    <x:row r="7">
      <x:c r="A7" s="24" t="str">
        <x:v>TC-003</x:v>
      </x:c>
      <x:c r="B7" s="25" t="str">
        <x:v>Any</x:v>
      </x:c>
      <x:c r="C7" s="25" t="str">
        <x:v>E-F-B(y)</x:v>
      </x:c>
      <x:c r="D7" s="25" t="str">
        <x:v>Father's younger brother; order known</x:v>
      </x:c>
      <x:c r="E7" s="25" t="str">
        <x:v>काका</x:v>
      </x:c>
      <x:c r="F7" s="25" t="str">
        <x:v>कान्छाबुबा may appear as variant</x:v>
      </x:c>
      <x:c r="G7" s="25" t="str">
        <x:v>Draft</x:v>
      </x:c>
      <x:c r="H7" s="25" t="str">
        <x:v>Do not use elder-uncle rule</x:v>
      </x:c>
      <x:c r="I7" s="25" t="str">
        <x:v>NS-020</x:v>
      </x:c>
      <x:c r="J7" s="25" t="str">
        <x:v>Pending</x:v>
      </x:c>
      <x:c r="K7" s="25" t="str"/>
      <x:c r="L7" s="26" t="str"/>
    </x:row>
    <x:row r="8">
      <x:c r="A8" s="24" t="str">
        <x:v>TC-004</x:v>
      </x:c>
      <x:c r="B8" s="25" t="str">
        <x:v>Any</x:v>
      </x:c>
      <x:c r="C8" s="25" t="str">
        <x:v>E-F-B</x:v>
      </x:c>
      <x:c r="D8" s="25" t="str">
        <x:v>Sibling order unknown</x:v>
      </x:c>
      <x:c r="E8" s="25" t="str">
        <x:v>Terminology awaiting approval</x:v>
      </x:c>
      <x:c r="F8" s="25" t="str">
        <x:v>Show neutral path: father's brother</x:v>
      </x:c>
      <x:c r="G8" s="25" t="str">
        <x:v>Draft</x:v>
      </x:c>
      <x:c r="H8" s="25" t="str">
        <x:v>Must not guess काका/ठूलोबुबा</x:v>
      </x:c>
      <x:c r="I8" s="25" t="str"/>
      <x:c r="J8" s="25" t="str">
        <x:v>Pending</x:v>
      </x:c>
      <x:c r="K8" s="25" t="str"/>
      <x:c r="L8" s="26" t="str"/>
    </x:row>
    <x:row r="9">
      <x:c r="A9" s="24" t="str">
        <x:v>TC-005</x:v>
      </x:c>
      <x:c r="B9" s="25" t="str">
        <x:v>Any</x:v>
      </x:c>
      <x:c r="C9" s="25" t="str">
        <x:v>E-M-Z(o)</x:v>
      </x:c>
      <x:c r="D9" s="25" t="str">
        <x:v>Mother's older sister</x:v>
      </x:c>
      <x:c r="E9" s="25" t="str">
        <x:v>आमाकी दिदी</x:v>
      </x:c>
      <x:c r="F9" s="25" t="str">
        <x:v>ठूलीआमा only after validation</x:v>
      </x:c>
      <x:c r="G9" s="25" t="str">
        <x:v>Draft</x:v>
      </x:c>
      <x:c r="H9" s="25" t="str">
        <x:v>Avoid ambiguous automatic label</x:v>
      </x:c>
      <x:c r="I9" s="25" t="str">
        <x:v>NS-028</x:v>
      </x:c>
      <x:c r="J9" s="25" t="str">
        <x:v>Pending</x:v>
      </x:c>
      <x:c r="K9" s="25" t="str"/>
      <x:c r="L9" s="26" t="str"/>
    </x:row>
    <x:row r="10">
      <x:c r="A10" s="24" t="str">
        <x:v>TC-006</x:v>
      </x:c>
      <x:c r="B10" s="25" t="str">
        <x:v>Female spouse</x:v>
      </x:c>
      <x:c r="C10" s="25" t="str">
        <x:v>E-H-B(y)</x:v>
      </x:c>
      <x:c r="D10" s="25" t="str">
        <x:v>Active marriage</x:v>
      </x:c>
      <x:c r="E10" s="25" t="str">
        <x:v>देवर</x:v>
      </x:c>
      <x:c r="F10" s="25" t="str">
        <x:v>Respect privacy permissions</x:v>
      </x:c>
      <x:c r="G10" s="25" t="str">
        <x:v>Draft</x:v>
      </x:c>
      <x:c r="H10" s="25" t="str">
        <x:v>Do not return सालो</x:v>
      </x:c>
      <x:c r="I10" s="25" t="str">
        <x:v>NS-044</x:v>
      </x:c>
      <x:c r="J10" s="25" t="str">
        <x:v>Pending</x:v>
      </x:c>
      <x:c r="K10" s="25" t="str"/>
      <x:c r="L10" s="26" t="str"/>
    </x:row>
    <x:row r="11">
      <x:c r="A11" s="24" t="str">
        <x:v>TC-007</x:v>
      </x:c>
      <x:c r="B11" s="25" t="str">
        <x:v>Any</x:v>
      </x:c>
      <x:c r="C11" s="25" t="str">
        <x:v>E-AP(F)</x:v>
      </x:c>
      <x:c r="D11" s="25" t="str">
        <x:v>Explicit adoptive edge</x:v>
      </x:c>
      <x:c r="E11" s="25" t="str">
        <x:v>धर्मपिता</x:v>
      </x:c>
      <x:c r="F11" s="25" t="str">
        <x:v>Show adoptive badge</x:v>
      </x:c>
      <x:c r="G11" s="25" t="str">
        <x:v>Draft</x:v>
      </x:c>
      <x:c r="H11" s="25" t="str">
        <x:v>Must not silently show बुबा as biological</x:v>
      </x:c>
      <x:c r="I11" s="25" t="str">
        <x:v>NS-058</x:v>
      </x:c>
      <x:c r="J11" s="25" t="str">
        <x:v>Pending</x:v>
      </x:c>
      <x:c r="K11" s="25" t="str"/>
      <x:c r="L11" s="26" t="str"/>
    </x:row>
    <x:row r="12">
      <x:c r="A12" s="24" t="str">
        <x:v>TC-008</x:v>
      </x:c>
      <x:c r="B12" s="25" t="str">
        <x:v>Any</x:v>
      </x:c>
      <x:c r="C12" s="25" t="str">
        <x:v>E-HB</x:v>
      </x:c>
      <x:c r="D12" s="25" t="str">
        <x:v>Shared exactly one parent</x:v>
      </x:c>
      <x:c r="E12" s="25" t="str">
        <x:v>आधा-दाजु/भाइ</x:v>
      </x:c>
      <x:c r="F12" s="25" t="str">
        <x:v>Age-specific term only if order known</x:v>
      </x:c>
      <x:c r="G12" s="25" t="str">
        <x:v>Draft</x:v>
      </x:c>
      <x:c r="H12" s="25" t="str">
        <x:v>Must not merge with full sibling</x:v>
      </x:c>
      <x:c r="I12" s="25" t="str">
        <x:v>NS-064</x:v>
      </x:c>
      <x:c r="J12" s="25" t="str">
        <x:v>Pending</x:v>
      </x:c>
      <x:c r="K12" s="25" t="str"/>
      <x:c r="L12" s="26" t="str"/>
    </x:row>
    <x:row r="13">
      <x:c r="A13" s="24" t="str">
        <x:v>TC-009</x:v>
      </x:c>
      <x:c r="B13" s="25" t="str">
        <x:v>Any</x:v>
      </x:c>
      <x:c r="C13" s="25" t="str">
        <x:v>E-?</x:v>
      </x:c>
      <x:c r="D13" s="25" t="str">
        <x:v>Insufficient parent/path data</x:v>
      </x:c>
      <x:c r="E13" s="25" t="str">
        <x:v>सम्बन्ध पुष्टि हुन बाँकी</x:v>
      </x:c>
      <x:c r="F13" s="25" t="str">
        <x:v>Display neutral path</x:v>
      </x:c>
      <x:c r="G13" s="25" t="str">
        <x:v>Draft</x:v>
      </x:c>
      <x:c r="H13" s="25" t="str">
        <x:v>Must not infer a cultural term</x:v>
      </x:c>
      <x:c r="I13" s="25" t="str">
        <x:v>NS-068</x:v>
      </x:c>
      <x:c r="J13" s="25" t="str">
        <x:v>Pending</x:v>
      </x:c>
      <x:c r="K13" s="25" t="str"/>
      <x:c r="L13" s="26" t="str"/>
    </x:row>
    <x:row r="14">
      <x:c r="A14" s="24" t="str">
        <x:v>TC-010</x:v>
      </x:c>
      <x:c r="B14" s="25" t="str">
        <x:v>Any</x:v>
      </x:c>
      <x:c r="C14" s="25" t="str">
        <x:v>E-!</x:v>
      </x:c>
      <x:c r="D14" s="25" t="str">
        <x:v>Dispute flag active</x:v>
      </x:c>
      <x:c r="E14" s="25" t="str">
        <x:v>विवादित सम्बन्ध</x:v>
      </x:c>
      <x:c r="F14" s="25" t="str">
        <x:v>Restrict visibility and log access</x:v>
      </x:c>
      <x:c r="G14" s="25" t="str">
        <x:v>Draft</x:v>
      </x:c>
      <x:c r="H14" s="25" t="str">
        <x:v>Must not publish as verified</x:v>
      </x:c>
      <x:c r="I14" s="25" t="str">
        <x:v>NS-069</x:v>
      </x:c>
      <x:c r="J14" s="25" t="str">
        <x:v>Pending</x:v>
      </x:c>
      <x:c r="K14" s="25" t="str"/>
      <x:c r="L14" s="26" t="str"/>
    </x:row>
    <x:row r="15">
      <x:c r="A15" s="24" t="str">
        <x:v>TC-011</x:v>
      </x:c>
      <x:c r="B15" s="25" t="str">
        <x:v>Any</x:v>
      </x:c>
      <x:c r="C15" s="25" t="str">
        <x:v>Two valid graph paths</x:v>
      </x:c>
      <x:c r="D15" s="25" t="str">
        <x:v>Both paths final-approved</x:v>
      </x:c>
      <x:c r="E15" s="25" t="str">
        <x:v>Primary approved term</x:v>
      </x:c>
      <x:c r="F15" s="25" t="str">
        <x:v>Expandable alternative terms/paths</x:v>
      </x:c>
      <x:c r="G15" s="25" t="str">
        <x:v>Draft</x:v>
      </x:c>
      <x:c r="H15" s="25" t="str">
        <x:v>Must not hide conflicting valid path</x:v>
      </x:c>
      <x:c r="I15" s="25" t="str"/>
      <x:c r="J15" s="25" t="str">
        <x:v>Pending</x:v>
      </x:c>
      <x:c r="K15" s="25" t="str"/>
      <x:c r="L15" s="26" t="str"/>
    </x:row>
    <x:row r="16">
      <x:c r="A16" s="27" t="str">
        <x:v>TC-012</x:v>
      </x:c>
      <x:c r="B16" s="28" t="str">
        <x:v>Any</x:v>
      </x:c>
      <x:c r="C16" s="28" t="str">
        <x:v>Version transition</x:v>
      </x:c>
      <x:c r="D16" s="28" t="str">
        <x:v>Old and new rule versions exist</x:v>
      </x:c>
      <x:c r="E16" s="28" t="str">
        <x:v>Term for effective date</x:v>
      </x:c>
      <x:c r="F16" s="28" t="str">
        <x:v>Audit old result; notify/recalculate as configured</x:v>
      </x:c>
      <x:c r="G16" s="28" t="str">
        <x:v>Draft</x:v>
      </x:c>
      <x:c r="H16" s="28" t="str">
        <x:v>Must not overwrite prior rule history</x:v>
      </x:c>
      <x:c r="I16" s="28" t="str"/>
      <x:c r="J16" s="28" t="str">
        <x:v>Pending</x:v>
      </x:c>
      <x:c r="K16" s="28" t="str"/>
      <x:c r="L16" s="29" t="str"/>
    </x:row>
  </x:sheetData>
  <x:mergeCells>
    <x:mergeCell ref="A1:L1"/>
    <x:mergeCell ref="A2:L2"/>
  </x:mergeCells>
  <x:dataValidations count="1">
    <x:dataValidation type="list" sqref="J5:J16">
      <x:formula1>"Pending,Pass,Fail,Needs correction"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0" hidden="0" customWidth="1"/>
    <x:col min="4" max="4" width="28" hidden="0" customWidth="1"/>
    <x:col min="5" max="5" width="58" hidden="0" customWidth="1"/>
    <x:col min="6" max="6" width="35" hidden="0" customWidth="1"/>
    <x:col min="7" max="7" width="25" hidden="0" customWidth="1"/>
    <x:col min="8" max="8" width="20" hidden="0" customWidth="1"/>
    <x:col min="9" max="9" width="22" hidden="0" customWidth="1"/>
    <x:col min="10" max="10" width="38" hidden="0" customWidth="1"/>
  </x:cols>
  <x:sheetData>
    <x:row r="1" ht="32" customHeight="1">
      <x:c r="A1" s="30" t="str">
        <x:v>Research &amp; Evidence Source Register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6" customHeight="1">
      <x:c r="A2" s="6" t="str">
        <x:v>Research references support expert review but do not constitute approval by the Adhikari community.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1" t="str">
        <x:v>Source ID</x:v>
      </x:c>
      <x:c r="B4" s="22" t="str">
        <x:v>Source Type</x:v>
      </x:c>
      <x:c r="C4" s="22" t="str">
        <x:v>Title</x:v>
      </x:c>
      <x:c r="D4" s="22" t="str">
        <x:v>Organization / Author</x:v>
      </x:c>
      <x:c r="E4" s="22" t="str">
        <x:v>URL or Repository</x:v>
      </x:c>
      <x:c r="F4" s="22" t="str">
        <x:v>Use in Draft</x:v>
      </x:c>
      <x:c r="G4" s="22" t="str">
        <x:v>Authority Level</x:v>
      </x:c>
      <x:c r="H4" s="22" t="str">
        <x:v>Verification Status</x:v>
      </x:c>
      <x:c r="I4" s="22" t="str">
        <x:v>Evidence Owner</x:v>
      </x:c>
      <x:c r="J4" s="23" t="str">
        <x:v>Notes</x:v>
      </x:c>
    </x:row>
    <x:row r="5">
      <x:c r="A5" s="24" t="str">
        <x:v>SRC-001</x:v>
      </x:c>
      <x:c r="B5" s="25" t="str">
        <x:v>Academic paper</x:v>
      </x:c>
      <x:c r="C5" s="25" t="str">
        <x:v>Nepali kinship terminology / computational representation</x:v>
      </x:c>
      <x:c r="D5" s="25" t="str">
        <x:v>International Journal of Computer Applications</x:v>
      </x:c>
      <x:c r="E5" s="25" t="str">
        <x:v>https://research.ijcaonline.org/volume58/number9/pxc3883546.pdf</x:v>
      </x:c>
      <x:c r="F5" s="25" t="str">
        <x:v>Terminology structure and computational concepts</x:v>
      </x:c>
      <x:c r="G5" s="25" t="str">
        <x:v>Research reference only</x:v>
      </x:c>
      <x:c r="H5" s="25" t="str">
        <x:v>To be reviewed</x:v>
      </x:c>
      <x:c r="I5" s="25" t="str"/>
      <x:c r="J5" s="26" t="str">
        <x:v>Confirm relevance and methodology</x:v>
      </x:c>
    </x:row>
    <x:row r="6">
      <x:c r="A6" s="24" t="str">
        <x:v>SRC-002</x:v>
      </x:c>
      <x:c r="B6" s="25" t="str">
        <x:v>Academic paper</x:v>
      </x:c>
      <x:c r="C6" s="25" t="str">
        <x:v>Call me uncle: An outsider's experience of kinship in Nepal</x:v>
      </x:c>
      <x:c r="D6" s="25" t="str">
        <x:v>HAL / academic repository</x:v>
      </x:c>
      <x:c r="E6" s="25" t="str">
        <x:v>https://shs.hal.science/halshs-03083401/document</x:v>
      </x:c>
      <x:c r="F6" s="25" t="str">
        <x:v>Sociolinguistic context and address practices</x:v>
      </x:c>
      <x:c r="G6" s="25" t="str">
        <x:v>Research reference only</x:v>
      </x:c>
      <x:c r="H6" s="25" t="str">
        <x:v>To be reviewed</x:v>
      </x:c>
      <x:c r="I6" s="25" t="str"/>
      <x:c r="J6" s="26" t="str">
        <x:v>Do not treat observations as Adhikari authority</x:v>
      </x:c>
    </x:row>
    <x:row r="7">
      <x:c r="A7" s="24" t="str">
        <x:v>SRC-003</x:v>
      </x:c>
      <x:c r="B7" s="25" t="str">
        <x:v>Educational reference</x:v>
      </x:c>
      <x:c r="C7" s="25" t="str">
        <x:v>Nepali family and relationship vocabulary</x:v>
      </x:c>
      <x:c r="D7" s="25" t="str">
        <x:v>Omniglot</x:v>
      </x:c>
      <x:c r="E7" s="25" t="str">
        <x:v>https://www.omniglot.com/language/kinship/nepali.htm</x:v>
      </x:c>
      <x:c r="F7" s="25" t="str">
        <x:v>Candidate spellings and common terms</x:v>
      </x:c>
      <x:c r="G7" s="25" t="str">
        <x:v>Supplementary</x:v>
      </x:c>
      <x:c r="H7" s="25" t="str">
        <x:v>To be reviewed</x:v>
      </x:c>
      <x:c r="I7" s="25" t="str"/>
      <x:c r="J7" s="26" t="str">
        <x:v>Cross-check every term</x:v>
      </x:c>
    </x:row>
    <x:row r="8">
      <x:c r="A8" s="24" t="str">
        <x:v>SRC-004</x:v>
      </x:c>
      <x:c r="B8" s="25" t="str">
        <x:v>Educational resource</x:v>
      </x:c>
      <x:c r="C8" s="25" t="str">
        <x:v>Nepali Familial Relationships: Immediate Family</x:v>
      </x:c>
      <x:c r="D8" s="25" t="str">
        <x:v>University of Wisconsin Pressbooks</x:v>
      </x:c>
      <x:c r="E8" s="25" t="str">
        <x:v>https://wisc.pb.unizin.org/lctlresources/chapter/nepali-familial-relationships-immediate-family/</x:v>
      </x:c>
      <x:c r="F8" s="25" t="str">
        <x:v>Immediate-family vocabulary</x:v>
      </x:c>
      <x:c r="G8" s="25" t="str">
        <x:v>Supplementary</x:v>
      </x:c>
      <x:c r="H8" s="25" t="str">
        <x:v>To be reviewed</x:v>
      </x:c>
      <x:c r="I8" s="25" t="str"/>
      <x:c r="J8" s="26" t="str">
        <x:v>Language-learning source</x:v>
      </x:c>
    </x:row>
    <x:row r="9">
      <x:c r="A9" s="24" t="str">
        <x:v>SRC-005</x:v>
      </x:c>
      <x:c r="B9" s="25" t="str">
        <x:v>Media article</x:v>
      </x:c>
      <x:c r="C9" s="25" t="str">
        <x:v>Nepali kinship terminology article</x:v>
      </x:c>
      <x:c r="D9" s="25" t="str">
        <x:v>Gorkhapatra</x:v>
      </x:c>
      <x:c r="E9" s="25" t="str">
        <x:v>https://gorkhapatraonline.com/news/199904</x:v>
      </x:c>
      <x:c r="F9" s="25" t="str">
        <x:v>Public-language context</x:v>
      </x:c>
      <x:c r="G9" s="25" t="str">
        <x:v>Supplementary</x:v>
      </x:c>
      <x:c r="H9" s="25" t="str">
        <x:v>To be reviewed</x:v>
      </x:c>
      <x:c r="I9" s="25" t="str"/>
      <x:c r="J9" s="26" t="str">
        <x:v>Record publication date during review</x:v>
      </x:c>
    </x:row>
    <x:row r="10">
      <x:c r="A10" s="24" t="str">
        <x:v>SRC-006</x:v>
      </x:c>
      <x:c r="B10" s="25" t="str">
        <x:v>Community resolution</x:v>
      </x:c>
      <x:c r="C10" s="25" t="str">
        <x:v>Adhikari cultural authority approval record</x:v>
      </x:c>
      <x:c r="D10" s="25" t="str">
        <x:v>To be supplied</x:v>
      </x:c>
      <x:c r="E10" s="25" t="str"/>
      <x:c r="F10" s="25" t="str">
        <x:v>Final rule authority</x:v>
      </x:c>
      <x:c r="G10" s="25" t="str">
        <x:v>Required project authority</x:v>
      </x:c>
      <x:c r="H10" s="25" t="str">
        <x:v>Missing</x:v>
      </x:c>
      <x:c r="I10" s="25" t="str"/>
      <x:c r="J10" s="26" t="str">
        <x:v>Attach meeting minute/resolution ID</x:v>
      </x:c>
    </x:row>
    <x:row r="11">
      <x:c r="A11" s="27" t="str">
        <x:v>SRC-007</x:v>
      </x:c>
      <x:c r="B11" s="28" t="str">
        <x:v>Expert statement</x:v>
      </x:c>
      <x:c r="C11" s="28" t="str">
        <x:v>Nata/Saino expert validation statement</x:v>
      </x:c>
      <x:c r="D11" s="28" t="str">
        <x:v>To be supplied</x:v>
      </x:c>
      <x:c r="E11" s="28" t="str"/>
      <x:c r="F11" s="28" t="str">
        <x:v>Reviewer validation</x:v>
      </x:c>
      <x:c r="G11" s="28" t="str">
        <x:v>Required project authority</x:v>
      </x:c>
      <x:c r="H11" s="28" t="str">
        <x:v>Missing</x:v>
      </x:c>
      <x:c r="I11" s="28" t="str"/>
      <x:c r="J11" s="29" t="str">
        <x:v>Identify expert, date, scope, signature/record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8" hidden="0" customWidth="1"/>
    <x:col min="5" max="5" width="38" hidden="0" customWidth="1"/>
    <x:col min="6" max="6" width="34" hidden="0" customWidth="1"/>
    <x:col min="7" max="7" width="15" hidden="0" customWidth="1"/>
    <x:col min="8" max="8" width="22" hidden="0" customWidth="1"/>
    <x:col min="9" max="9" width="20" hidden="0" customWidth="1"/>
    <x:col min="10" max="10" width="22" hidden="0" customWidth="1"/>
    <x:col min="11" max="11" width="18" hidden="0" customWidth="1"/>
    <x:col min="12" max="12" width="24" hidden="0" customWidth="1"/>
    <x:col min="13" max="13" width="18" hidden="0" customWidth="1"/>
    <x:col min="14" max="14" width="40" hidden="0" customWidth="1"/>
  </x:cols>
  <x:sheetData>
    <x:row r="1" ht="32" customHeight="1">
      <x:c r="A1" s="30" t="str">
        <x:v>Rule Proposal &amp; Approval Log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 ht="26" customHeight="1">
      <x:c r="A2" s="6" t="str">
        <x:v>One row per review action. Reviewer and final approver must be different named individuals.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21" t="str">
        <x:v>Action ID</x:v>
      </x:c>
      <x:c r="B4" s="22" t="str">
        <x:v>Rule ID</x:v>
      </x:c>
      <x:c r="C4" s="22" t="str">
        <x:v>Rule Version</x:v>
      </x:c>
      <x:c r="D4" s="22" t="str">
        <x:v>Action</x:v>
      </x:c>
      <x:c r="E4" s="22" t="str">
        <x:v>Proposed Value / Change</x:v>
      </x:c>
      <x:c r="F4" s="22" t="str">
        <x:v>Reason</x:v>
      </x:c>
      <x:c r="G4" s="22" t="str">
        <x:v>Evidence ID</x:v>
      </x:c>
      <x:c r="H4" s="22" t="str">
        <x:v>Proposed By</x:v>
      </x:c>
      <x:c r="I4" s="22" t="str">
        <x:v>Proposed At</x:v>
      </x:c>
      <x:c r="J4" s="22" t="str">
        <x:v>Cultural Reviewer</x:v>
      </x:c>
      <x:c r="K4" s="22" t="str">
        <x:v>Review Decision</x:v>
      </x:c>
      <x:c r="L4" s="22" t="str">
        <x:v>Senior Final Approver</x:v>
      </x:c>
      <x:c r="M4" s="22" t="str">
        <x:v>Final Decision</x:v>
      </x:c>
      <x:c r="N4" s="23" t="str">
        <x:v>Audit Notes</x:v>
      </x:c>
    </x:row>
    <x:row r="5">
      <x:c r="A5" s="24" t="str">
        <x:v>ACT-001</x:v>
      </x:c>
      <x:c r="B5" s="25" t="str"/>
      <x:c r="C5" s="25" t="str">
        <x:v>0.1</x:v>
      </x:c>
      <x:c r="D5" s="25" t="str">
        <x:v>Proposal</x:v>
      </x:c>
      <x:c r="E5" s="25" t="str"/>
      <x:c r="F5" s="25" t="str"/>
      <x:c r="G5" s="25" t="str"/>
      <x:c r="H5" s="25" t="str"/>
      <x:c r="I5" s="25" t="str"/>
      <x:c r="J5" s="25" t="str"/>
      <x:c r="K5" s="25" t="str">
        <x:v>Pending</x:v>
      </x:c>
      <x:c r="L5" s="25" t="str"/>
      <x:c r="M5" s="25" t="str">
        <x:v>Pending</x:v>
      </x:c>
      <x:c r="N5" s="26" t="str"/>
    </x:row>
    <x:row r="6">
      <x:c r="A6" s="24" t="str">
        <x:v>ACT-002</x:v>
      </x:c>
      <x:c r="B6" s="25" t="str"/>
      <x:c r="C6" s="25" t="str">
        <x:v>0.1</x:v>
      </x:c>
      <x:c r="D6" s="25" t="str">
        <x:v>Proposal</x:v>
      </x:c>
      <x:c r="E6" s="25" t="str"/>
      <x:c r="F6" s="25" t="str"/>
      <x:c r="G6" s="25" t="str"/>
      <x:c r="H6" s="25" t="str"/>
      <x:c r="I6" s="25" t="str"/>
      <x:c r="J6" s="25" t="str"/>
      <x:c r="K6" s="25" t="str">
        <x:v>Pending</x:v>
      </x:c>
      <x:c r="L6" s="25" t="str"/>
      <x:c r="M6" s="25" t="str">
        <x:v>Pending</x:v>
      </x:c>
      <x:c r="N6" s="26" t="str"/>
    </x:row>
    <x:row r="7">
      <x:c r="A7" s="24" t="str">
        <x:v>ACT-003</x:v>
      </x:c>
      <x:c r="B7" s="25" t="str"/>
      <x:c r="C7" s="25" t="str">
        <x:v>0.1</x:v>
      </x:c>
      <x:c r="D7" s="25" t="str">
        <x:v>Proposal</x:v>
      </x:c>
      <x:c r="E7" s="25" t="str"/>
      <x:c r="F7" s="25" t="str"/>
      <x:c r="G7" s="25" t="str"/>
      <x:c r="H7" s="25" t="str"/>
      <x:c r="I7" s="25" t="str"/>
      <x:c r="J7" s="25" t="str"/>
      <x:c r="K7" s="25" t="str">
        <x:v>Pending</x:v>
      </x:c>
      <x:c r="L7" s="25" t="str"/>
      <x:c r="M7" s="25" t="str">
        <x:v>Pending</x:v>
      </x:c>
      <x:c r="N7" s="26" t="str"/>
    </x:row>
    <x:row r="8">
      <x:c r="A8" s="24" t="str">
        <x:v>ACT-004</x:v>
      </x:c>
      <x:c r="B8" s="25" t="str"/>
      <x:c r="C8" s="25" t="str">
        <x:v>0.1</x:v>
      </x:c>
      <x:c r="D8" s="25" t="str">
        <x:v>Proposal</x:v>
      </x:c>
      <x:c r="E8" s="25" t="str"/>
      <x:c r="F8" s="25" t="str"/>
      <x:c r="G8" s="25" t="str"/>
      <x:c r="H8" s="25" t="str"/>
      <x:c r="I8" s="25" t="str"/>
      <x:c r="J8" s="25" t="str"/>
      <x:c r="K8" s="25" t="str">
        <x:v>Pending</x:v>
      </x:c>
      <x:c r="L8" s="25" t="str"/>
      <x:c r="M8" s="25" t="str">
        <x:v>Pending</x:v>
      </x:c>
      <x:c r="N8" s="26" t="str"/>
    </x:row>
    <x:row r="9">
      <x:c r="A9" s="24" t="str">
        <x:v>ACT-005</x:v>
      </x:c>
      <x:c r="B9" s="25" t="str"/>
      <x:c r="C9" s="25" t="str">
        <x:v>0.1</x:v>
      </x:c>
      <x:c r="D9" s="25" t="str">
        <x:v>Proposal</x:v>
      </x:c>
      <x:c r="E9" s="25" t="str"/>
      <x:c r="F9" s="25" t="str"/>
      <x:c r="G9" s="25" t="str"/>
      <x:c r="H9" s="25" t="str"/>
      <x:c r="I9" s="25" t="str"/>
      <x:c r="J9" s="25" t="str"/>
      <x:c r="K9" s="25" t="str">
        <x:v>Pending</x:v>
      </x:c>
      <x:c r="L9" s="25" t="str"/>
      <x:c r="M9" s="25" t="str">
        <x:v>Pending</x:v>
      </x:c>
      <x:c r="N9" s="26" t="str"/>
    </x:row>
    <x:row r="10">
      <x:c r="A10" s="24" t="str">
        <x:v>ACT-006</x:v>
      </x:c>
      <x:c r="B10" s="25" t="str"/>
      <x:c r="C10" s="25" t="str">
        <x:v>0.1</x:v>
      </x:c>
      <x:c r="D10" s="25" t="str">
        <x:v>Proposal</x:v>
      </x:c>
      <x:c r="E10" s="25" t="str"/>
      <x:c r="F10" s="25" t="str"/>
      <x:c r="G10" s="25" t="str"/>
      <x:c r="H10" s="25" t="str"/>
      <x:c r="I10" s="25" t="str"/>
      <x:c r="J10" s="25" t="str"/>
      <x:c r="K10" s="25" t="str">
        <x:v>Pending</x:v>
      </x:c>
      <x:c r="L10" s="25" t="str"/>
      <x:c r="M10" s="25" t="str">
        <x:v>Pending</x:v>
      </x:c>
      <x:c r="N10" s="26" t="str"/>
    </x:row>
    <x:row r="11">
      <x:c r="A11" s="24" t="str">
        <x:v>ACT-007</x:v>
      </x:c>
      <x:c r="B11" s="25" t="str"/>
      <x:c r="C11" s="25" t="str">
        <x:v>0.1</x:v>
      </x:c>
      <x:c r="D11" s="25" t="str">
        <x:v>Proposal</x:v>
      </x:c>
      <x:c r="E11" s="25" t="str"/>
      <x:c r="F11" s="25" t="str"/>
      <x:c r="G11" s="25" t="str"/>
      <x:c r="H11" s="25" t="str"/>
      <x:c r="I11" s="25" t="str"/>
      <x:c r="J11" s="25" t="str"/>
      <x:c r="K11" s="25" t="str">
        <x:v>Pending</x:v>
      </x:c>
      <x:c r="L11" s="25" t="str"/>
      <x:c r="M11" s="25" t="str">
        <x:v>Pending</x:v>
      </x:c>
      <x:c r="N11" s="26" t="str"/>
    </x:row>
    <x:row r="12">
      <x:c r="A12" s="24" t="str">
        <x:v>ACT-008</x:v>
      </x:c>
      <x:c r="B12" s="25" t="str"/>
      <x:c r="C12" s="25" t="str">
        <x:v>0.1</x:v>
      </x:c>
      <x:c r="D12" s="25" t="str">
        <x:v>Proposal</x:v>
      </x:c>
      <x:c r="E12" s="25" t="str"/>
      <x:c r="F12" s="25" t="str"/>
      <x:c r="G12" s="25" t="str"/>
      <x:c r="H12" s="25" t="str"/>
      <x:c r="I12" s="25" t="str"/>
      <x:c r="J12" s="25" t="str"/>
      <x:c r="K12" s="25" t="str">
        <x:v>Pending</x:v>
      </x:c>
      <x:c r="L12" s="25" t="str"/>
      <x:c r="M12" s="25" t="str">
        <x:v>Pending</x:v>
      </x:c>
      <x:c r="N12" s="26" t="str"/>
    </x:row>
    <x:row r="13">
      <x:c r="A13" s="24" t="str">
        <x:v>ACT-009</x:v>
      </x:c>
      <x:c r="B13" s="25" t="str"/>
      <x:c r="C13" s="25" t="str">
        <x:v>0.1</x:v>
      </x:c>
      <x:c r="D13" s="25" t="str">
        <x:v>Proposal</x:v>
      </x:c>
      <x:c r="E13" s="25" t="str"/>
      <x:c r="F13" s="25" t="str"/>
      <x:c r="G13" s="25" t="str"/>
      <x:c r="H13" s="25" t="str"/>
      <x:c r="I13" s="25" t="str"/>
      <x:c r="J13" s="25" t="str"/>
      <x:c r="K13" s="25" t="str">
        <x:v>Pending</x:v>
      </x:c>
      <x:c r="L13" s="25" t="str"/>
      <x:c r="M13" s="25" t="str">
        <x:v>Pending</x:v>
      </x:c>
      <x:c r="N13" s="26" t="str"/>
    </x:row>
    <x:row r="14">
      <x:c r="A14" s="24" t="str">
        <x:v>ACT-010</x:v>
      </x:c>
      <x:c r="B14" s="25" t="str"/>
      <x:c r="C14" s="25" t="str">
        <x:v>0.1</x:v>
      </x:c>
      <x:c r="D14" s="25" t="str">
        <x:v>Proposal</x:v>
      </x:c>
      <x:c r="E14" s="25" t="str"/>
      <x:c r="F14" s="25" t="str"/>
      <x:c r="G14" s="25" t="str"/>
      <x:c r="H14" s="25" t="str"/>
      <x:c r="I14" s="25" t="str"/>
      <x:c r="J14" s="25" t="str"/>
      <x:c r="K14" s="25" t="str">
        <x:v>Pending</x:v>
      </x:c>
      <x:c r="L14" s="25" t="str"/>
      <x:c r="M14" s="25" t="str">
        <x:v>Pending</x:v>
      </x:c>
      <x:c r="N14" s="26" t="str"/>
    </x:row>
    <x:row r="15">
      <x:c r="A15" s="24" t="str">
        <x:v>ACT-011</x:v>
      </x:c>
      <x:c r="B15" s="25" t="str"/>
      <x:c r="C15" s="25" t="str">
        <x:v>0.1</x:v>
      </x:c>
      <x:c r="D15" s="25" t="str">
        <x:v>Proposal</x:v>
      </x:c>
      <x:c r="E15" s="25" t="str"/>
      <x:c r="F15" s="25" t="str"/>
      <x:c r="G15" s="25" t="str"/>
      <x:c r="H15" s="25" t="str"/>
      <x:c r="I15" s="25" t="str"/>
      <x:c r="J15" s="25" t="str"/>
      <x:c r="K15" s="25" t="str">
        <x:v>Pending</x:v>
      </x:c>
      <x:c r="L15" s="25" t="str"/>
      <x:c r="M15" s="25" t="str">
        <x:v>Pending</x:v>
      </x:c>
      <x:c r="N15" s="26" t="str"/>
    </x:row>
    <x:row r="16">
      <x:c r="A16" s="24" t="str">
        <x:v>ACT-012</x:v>
      </x:c>
      <x:c r="B16" s="25" t="str"/>
      <x:c r="C16" s="25" t="str">
        <x:v>0.1</x:v>
      </x:c>
      <x:c r="D16" s="25" t="str">
        <x:v>Proposal</x:v>
      </x:c>
      <x:c r="E16" s="25" t="str"/>
      <x:c r="F16" s="25" t="str"/>
      <x:c r="G16" s="25" t="str"/>
      <x:c r="H16" s="25" t="str"/>
      <x:c r="I16" s="25" t="str"/>
      <x:c r="J16" s="25" t="str"/>
      <x:c r="K16" s="25" t="str">
        <x:v>Pending</x:v>
      </x:c>
      <x:c r="L16" s="25" t="str"/>
      <x:c r="M16" s="25" t="str">
        <x:v>Pending</x:v>
      </x:c>
      <x:c r="N16" s="26" t="str"/>
    </x:row>
    <x:row r="17">
      <x:c r="A17" s="24" t="str">
        <x:v>ACT-013</x:v>
      </x:c>
      <x:c r="B17" s="25" t="str"/>
      <x:c r="C17" s="25" t="str">
        <x:v>0.1</x:v>
      </x:c>
      <x:c r="D17" s="25" t="str">
        <x:v>Proposal</x:v>
      </x:c>
      <x:c r="E17" s="25" t="str"/>
      <x:c r="F17" s="25" t="str"/>
      <x:c r="G17" s="25" t="str"/>
      <x:c r="H17" s="25" t="str"/>
      <x:c r="I17" s="25" t="str"/>
      <x:c r="J17" s="25" t="str"/>
      <x:c r="K17" s="25" t="str">
        <x:v>Pending</x:v>
      </x:c>
      <x:c r="L17" s="25" t="str"/>
      <x:c r="M17" s="25" t="str">
        <x:v>Pending</x:v>
      </x:c>
      <x:c r="N17" s="26" t="str"/>
    </x:row>
    <x:row r="18">
      <x:c r="A18" s="24" t="str">
        <x:v>ACT-014</x:v>
      </x:c>
      <x:c r="B18" s="25" t="str"/>
      <x:c r="C18" s="25" t="str">
        <x:v>0.1</x:v>
      </x:c>
      <x:c r="D18" s="25" t="str">
        <x:v>Proposal</x:v>
      </x:c>
      <x:c r="E18" s="25" t="str"/>
      <x:c r="F18" s="25" t="str"/>
      <x:c r="G18" s="25" t="str"/>
      <x:c r="H18" s="25" t="str"/>
      <x:c r="I18" s="25" t="str"/>
      <x:c r="J18" s="25" t="str"/>
      <x:c r="K18" s="25" t="str">
        <x:v>Pending</x:v>
      </x:c>
      <x:c r="L18" s="25" t="str"/>
      <x:c r="M18" s="25" t="str">
        <x:v>Pending</x:v>
      </x:c>
      <x:c r="N18" s="26" t="str"/>
    </x:row>
    <x:row r="19">
      <x:c r="A19" s="27" t="str">
        <x:v>ACT-015</x:v>
      </x:c>
      <x:c r="B19" s="28" t="str"/>
      <x:c r="C19" s="28" t="str">
        <x:v>0.1</x:v>
      </x:c>
      <x:c r="D19" s="28" t="str">
        <x:v>Proposal</x:v>
      </x:c>
      <x:c r="E19" s="28" t="str"/>
      <x:c r="F19" s="28" t="str"/>
      <x:c r="G19" s="28" t="str"/>
      <x:c r="H19" s="28" t="str"/>
      <x:c r="I19" s="28" t="str"/>
      <x:c r="J19" s="28" t="str"/>
      <x:c r="K19" s="28" t="str">
        <x:v>Pending</x:v>
      </x:c>
      <x:c r="L19" s="28" t="str"/>
      <x:c r="M19" s="28" t="str">
        <x:v>Pending</x:v>
      </x:c>
      <x:c r="N19" s="29" t="str"/>
    </x:row>
  </x:sheetData>
  <x:mergeCells>
    <x:mergeCell ref="A1:N1"/>
    <x:mergeCell ref="A2:N2"/>
  </x:mergeCells>
  <x:dataValidations count="2">
    <x:dataValidation type="list" sqref="K5:K19">
      <x:formula1>"Pending,Validated,Returned,Rejected"</x:formula1>
    </x:dataValidation>
    <x:dataValidation type="list" sqref="M5:M19">
      <x:formula1>"Pending,Approved,Returned,Rejected"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Expert Validation Dashboard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Live counts are formula-driven from the catalogue.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Metric</x:v>
      </x:c>
      <x:c r="B4" s="23" t="str">
        <x:v>Count</x:v>
      </x:c>
      <x:c r="D4" s="11" t="str">
        <x:v>Release gate</x:v>
      </x:c>
      <x:c r="E4" s="11"/>
      <x:c r="F4" s="11"/>
      <x:c r="G4" s="11"/>
      <x:c r="H4" s="11"/>
    </x:row>
    <x:row r="5">
      <x:c r="A5" s="39" t="str">
        <x:v>Total candidate rules</x:v>
      </x:c>
      <x:c r="B5" s="45" t="n">
        <x:f>COUNTA('Nata Saino Catalogue'!A5:A75)</x:f>
        <x:v>71</x:v>
      </x:c>
      <x:c r="D5" s="51" t="str">
        <x:v>NOT READY FOR PRODUCTION
All candidate terms require expert validation. Publication requires documentary/customary evidence, a cultural review decision, and separate senior final approval. Unsupported paths must remain neutral.</x:v>
      </x:c>
      <x:c r="E5" s="51"/>
      <x:c r="F5" s="51"/>
      <x:c r="G5" s="51"/>
      <x:c r="H5" s="51"/>
    </x:row>
    <x:row r="6">
      <x:c r="A6" s="39" t="str">
        <x:v>Expert validation required</x:v>
      </x:c>
      <x:c r="B6" s="45" t="n">
        <x:f>COUNTIF('Nata Saino Catalogue'!R5:R75,"Expert validation required")</x:f>
        <x:v>71</x:v>
      </x:c>
      <x:c r="D6" s="51"/>
      <x:c r="E6" s="51"/>
      <x:c r="F6" s="51"/>
      <x:c r="G6" s="51"/>
      <x:c r="H6" s="51"/>
    </x:row>
    <x:row r="7">
      <x:c r="A7" s="39" t="str">
        <x:v>Reviewer validated</x:v>
      </x:c>
      <x:c r="B7" s="45" t="n">
        <x:f>COUNTIF('Nata Saino Catalogue'!R5:R75,"Reviewer validated")</x:f>
        <x:v>0</x:v>
      </x:c>
      <x:c r="D7" s="51"/>
      <x:c r="E7" s="51"/>
      <x:c r="F7" s="51"/>
      <x:c r="G7" s="51"/>
      <x:c r="H7" s="51"/>
    </x:row>
    <x:row r="8">
      <x:c r="A8" s="39" t="str">
        <x:v>Final-approved</x:v>
      </x:c>
      <x:c r="B8" s="45" t="n">
        <x:f>COUNTIF('Nata Saino Catalogue'!R5:R75,"Final-approved")</x:f>
        <x:v>0</x:v>
      </x:c>
      <x:c r="D8" s="51"/>
      <x:c r="E8" s="51"/>
      <x:c r="F8" s="51"/>
      <x:c r="G8" s="51"/>
      <x:c r="H8" s="51"/>
    </x:row>
    <x:row r="9">
      <x:c r="A9" s="39" t="str">
        <x:v>Rejected</x:v>
      </x:c>
      <x:c r="B9" s="45" t="n">
        <x:f>COUNTIF('Nata Saino Catalogue'!R5:R75,"Rejected")</x:f>
        <x:v>0</x:v>
      </x:c>
    </x:row>
    <x:row r="10">
      <x:c r="A10" s="40" t="str">
        <x:v>Authority evidence missing/inadequate</x:v>
      </x:c>
      <x:c r="B10" s="46" t="n">
        <x:f>COUNTIF('Nata Saino Catalogue'!Q5:Q75,"Missing")+COUNTIF('Nata Saino Catalogue'!Q5:Q75,"Academic support; community authority missing")</x:f>
        <x:v>71</x:v>
      </x:c>
      <x:c r="D10" s="54" t="str">
        <x:v>Completion rule: Final-approved = Total candidate rules, and authority evidence missing/inadequate = 0</x:v>
      </x:c>
      <x:c r="E10" s="54"/>
      <x:c r="F10" s="54"/>
      <x:c r="G10" s="54"/>
      <x:c r="H10" s="54"/>
    </x:row>
  </x:sheetData>
  <x:mergeCells>
    <x:mergeCell ref="A1:H1"/>
    <x:mergeCell ref="A2:H2"/>
    <x:mergeCell ref="D4:H4"/>
    <x:mergeCell ref="D5:H8"/>
    <x:mergeCell ref="D10:H10"/>
  </x:mergeCells>
  <x:pageMargins left="0.7" right="0.7" top="0.75" bottom="0.75" header="0.3" footer="0.3"/>
</x:worksheet>
</file>